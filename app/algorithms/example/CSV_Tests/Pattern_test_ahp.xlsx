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tudy\Programming\Github\6sem\DTA\DecisionTheoryApp\app\algorithms\example\CSV_Tests\"/>
    </mc:Choice>
  </mc:AlternateContent>
  <xr:revisionPtr revIDLastSave="0" documentId="8_{8570781D-B7D0-4CF1-B1ED-8F301B0D9D8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H5" i="1"/>
  <c r="K2" i="1" s="1"/>
  <c r="K24" i="1"/>
  <c r="H4" i="1"/>
  <c r="J2" i="1" s="1"/>
  <c r="J24" i="1"/>
  <c r="H25" i="1"/>
  <c r="I24" i="1"/>
  <c r="K5" i="1"/>
  <c r="J5" i="1"/>
  <c r="I5" i="1"/>
  <c r="J4" i="1"/>
  <c r="H3" i="1" l="1"/>
  <c r="I2" i="1" s="1"/>
  <c r="H26" i="1"/>
  <c r="H27" i="1"/>
</calcChain>
</file>

<file path=xl/sharedStrings.xml><?xml version="1.0" encoding="utf-8"?>
<sst xmlns="http://schemas.openxmlformats.org/spreadsheetml/2006/main" count="28" uniqueCount="28">
  <si>
    <t>Легенда</t>
  </si>
  <si>
    <t>Сравнительная таблица важности критериев относительно друг друга</t>
  </si>
  <si>
    <t>Цвет</t>
  </si>
  <si>
    <t>Тип пользовательского ввода</t>
  </si>
  <si>
    <t>строка</t>
  </si>
  <si>
    <t>целое число от 0 до 5</t>
  </si>
  <si>
    <t>произвольное число</t>
  </si>
  <si>
    <t>0 или 1</t>
  </si>
  <si>
    <t>Названия альтернатив</t>
  </si>
  <si>
    <t>Названия критериев</t>
  </si>
  <si>
    <t>Альтернатива</t>
  </si>
  <si>
    <t>Название альтернативы</t>
  </si>
  <si>
    <t>Критерий</t>
  </si>
  <si>
    <t>Название критерия</t>
  </si>
  <si>
    <t>Значения критериев</t>
  </si>
  <si>
    <t>Сортировать по возрастанию?</t>
  </si>
  <si>
    <t>К1</t>
  </si>
  <si>
    <t>К2</t>
  </si>
  <si>
    <t>К3</t>
  </si>
  <si>
    <t>А1</t>
  </si>
  <si>
    <t>А2</t>
  </si>
  <si>
    <t>А3</t>
  </si>
  <si>
    <t>КВАРТИРА 1</t>
  </si>
  <si>
    <t>КВАРТИРА 2</t>
  </si>
  <si>
    <t>КВАРТИРА 3</t>
  </si>
  <si>
    <t>ЦЕНА</t>
  </si>
  <si>
    <t>КАЧЕСТВО</t>
  </si>
  <si>
    <t>ДОСТУПНОСТЬ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</si>
</sst>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i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4" xfId="0" applyFont="1" applyBorder="1"/>
    <xf numFmtId="0" fontId="3" fillId="0" borderId="6" xfId="0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5" xfId="0" applyFont="1" applyFill="1" applyBorder="1"/>
    <xf numFmtId="0" fontId="2" fillId="0" borderId="7" xfId="0" applyFont="1" applyBorder="1"/>
    <xf numFmtId="0" fontId="3" fillId="0" borderId="9" xfId="0" applyFont="1" applyBorder="1" applyAlignment="1">
      <alignment horizontal="center"/>
    </xf>
    <xf numFmtId="0" fontId="3" fillId="2" borderId="0" xfId="0" applyFont="1" applyFill="1"/>
    <xf numFmtId="0" fontId="3" fillId="0" borderId="1" xfId="0" applyFont="1" applyBorder="1"/>
    <xf numFmtId="0" fontId="3" fillId="0" borderId="3" xfId="0" applyFont="1" applyBorder="1"/>
    <xf numFmtId="0" fontId="3" fillId="2" borderId="2" xfId="0" applyFont="1" applyFill="1" applyBorder="1" applyAlignment="1">
      <alignment wrapText="1"/>
    </xf>
    <xf numFmtId="0" fontId="3" fillId="0" borderId="4" xfId="0" applyFont="1" applyBorder="1"/>
    <xf numFmtId="0" fontId="3" fillId="5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0" borderId="7" xfId="0" applyFont="1" applyBorder="1"/>
    <xf numFmtId="0" fontId="3" fillId="6" borderId="8" xfId="0" applyFont="1" applyFill="1" applyBorder="1" applyAlignment="1">
      <alignment horizontal="center"/>
    </xf>
    <xf numFmtId="2" fontId="3" fillId="4" borderId="6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43"/>
  <sheetViews>
    <sheetView tabSelected="1" topLeftCell="A22" zoomScale="85" zoomScaleNormal="85" workbookViewId="0">
      <selection activeCell="E43" sqref="E43"/>
    </sheetView>
  </sheetViews>
  <sheetFormatPr defaultColWidth="12.6640625" defaultRowHeight="15.75" customHeight="1" x14ac:dyDescent="0.25"/>
  <cols>
    <col min="1" max="1" width="6.33203125" customWidth="1"/>
    <col min="2" max="2" width="13.44140625" customWidth="1"/>
    <col min="3" max="3" width="26.88671875" customWidth="1"/>
    <col min="4" max="4" width="5.77734375" customWidth="1"/>
    <col min="5" max="5" width="11" customWidth="1"/>
    <col min="6" max="6" width="30.77734375" customWidth="1"/>
    <col min="7" max="7" width="5.6640625" customWidth="1"/>
    <col min="28" max="28" width="26.109375" customWidth="1"/>
  </cols>
  <sheetData>
    <row r="1" spans="1:28" ht="15.75" customHeight="1" x14ac:dyDescent="0.3">
      <c r="A1" s="1"/>
      <c r="B1" s="36" t="s">
        <v>0</v>
      </c>
      <c r="C1" s="37"/>
      <c r="D1" s="2"/>
      <c r="E1" s="2"/>
      <c r="F1" s="2"/>
      <c r="H1" s="36" t="s">
        <v>1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1"/>
    </row>
    <row r="2" spans="1:28" ht="13.2" x14ac:dyDescent="0.25">
      <c r="A2" s="2"/>
      <c r="B2" s="3" t="s">
        <v>2</v>
      </c>
      <c r="C2" s="4" t="s">
        <v>3</v>
      </c>
      <c r="D2" s="2"/>
      <c r="E2" s="2"/>
      <c r="F2" s="2"/>
      <c r="H2" s="5"/>
      <c r="I2" s="6" t="str">
        <f>H3</f>
        <v>ЦЕНА</v>
      </c>
      <c r="J2" s="6" t="str">
        <f>H4</f>
        <v>КАЧЕСТВО</v>
      </c>
      <c r="K2" s="6" t="str">
        <f>H5</f>
        <v>ДОСТУПНОСТЬ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8"/>
    </row>
    <row r="3" spans="1:28" ht="13.2" x14ac:dyDescent="0.25">
      <c r="A3" s="9"/>
      <c r="B3" s="10"/>
      <c r="C3" s="11" t="s">
        <v>4</v>
      </c>
      <c r="D3" s="2"/>
      <c r="E3" s="2"/>
      <c r="F3" s="2"/>
      <c r="H3" s="12" t="str">
        <f t="shared" ref="H3:H11" si="0">F10</f>
        <v>ЦЕНА</v>
      </c>
      <c r="I3" s="13">
        <f>IF(ROW()=COLUMN()-COLUMN($I$3)+ROW($I$3),
1,
IF(ROW()&gt;COLUMN()-COLUMN($I$3)+ROW($I$3),
1/INDEX($I$3:$AA$21,
COLUMN()-COLUMN($I$3)+1,
ROW()-ROW($I$3)+1),
""))</f>
        <v>1</v>
      </c>
      <c r="J3" s="35">
        <v>5</v>
      </c>
      <c r="K3" s="14">
        <v>3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6"/>
    </row>
    <row r="4" spans="1:28" ht="13.2" x14ac:dyDescent="0.25">
      <c r="A4" s="9"/>
      <c r="B4" s="17"/>
      <c r="C4" s="11" t="s">
        <v>5</v>
      </c>
      <c r="D4" s="2"/>
      <c r="E4" s="2"/>
      <c r="F4" s="2"/>
      <c r="H4" s="12" t="str">
        <f t="shared" si="0"/>
        <v>КАЧЕСТВО</v>
      </c>
      <c r="I4" s="13">
        <f>IF(ROW()=COLUMN()-COLUMN($I$3)+ROW($I$3),
1,
IF(ROW()&gt;COLUMN()-COLUMN($I$3)+ROW($I$3),
1/INDEX($I$3:$AA$21,
COLUMN()-COLUMN($I$3)+1,
ROW()-ROW($I$3)+1),
""))</f>
        <v>0.2</v>
      </c>
      <c r="J4" s="13">
        <f t="shared" ref="J4:J11" si="1">IF(ROW()=COLUMN()-COLUMN($I$3)+ROW($I$3),
1,
IF(ROW()&gt;COLUMN()-COLUMN($I$3)+ROW($I$3),
1/INDEX($I$3:$AA$21,
COLUMN()-COLUMN($I$3)+1,
ROW()-ROW($I$3)+1),
""))</f>
        <v>1</v>
      </c>
      <c r="K4" s="14">
        <v>5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6"/>
    </row>
    <row r="5" spans="1:28" ht="13.2" x14ac:dyDescent="0.25">
      <c r="A5" s="9"/>
      <c r="B5" s="18"/>
      <c r="C5" s="11" t="s">
        <v>6</v>
      </c>
      <c r="D5" s="2"/>
      <c r="E5" s="2"/>
      <c r="F5" s="2"/>
      <c r="H5" s="12" t="str">
        <f t="shared" si="0"/>
        <v>ДОСТУПНОСТЬ</v>
      </c>
      <c r="I5" s="13">
        <f t="shared" ref="I3:I11" si="2">IF(ROW()=COLUMN()-COLUMN($I$3)+ROW($I$3),
1,
IF(ROW()&gt;COLUMN()-COLUMN($I$3)+ROW($I$3),
1/INDEX($I$3:$AA$21,
COLUMN()-COLUMN($I$3)+1,
ROW()-ROW($I$3)+1),
""))</f>
        <v>0.33333333333333331</v>
      </c>
      <c r="J5" s="13">
        <f t="shared" si="1"/>
        <v>0.2</v>
      </c>
      <c r="K5" s="13">
        <f t="shared" ref="K5:K11" si="3">IF(ROW()=COLUMN()-COLUMN($I$3)+ROW($I$3),
1,
IF(ROW()&gt;COLUMN()-COLUMN($I$3)+ROW($I$3),
1/INDEX($I$3:$AA$21,
COLUMN()-COLUMN($I$3)+1,
ROW()-ROW($I$3)+1),
""))</f>
        <v>1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6"/>
    </row>
    <row r="6" spans="1:28" ht="13.2" x14ac:dyDescent="0.25">
      <c r="A6" s="9"/>
      <c r="B6" s="19"/>
      <c r="C6" s="20" t="s">
        <v>7</v>
      </c>
      <c r="D6" s="2"/>
      <c r="E6" s="2"/>
      <c r="F6" s="2"/>
      <c r="H6" s="12"/>
      <c r="I6" s="13"/>
      <c r="J6" s="13"/>
      <c r="K6" s="13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6"/>
    </row>
    <row r="7" spans="1:28" ht="15.75" customHeight="1" x14ac:dyDescent="0.3">
      <c r="A7" s="2"/>
      <c r="B7" s="1"/>
      <c r="C7" s="1"/>
      <c r="D7" s="2"/>
      <c r="E7" s="2"/>
      <c r="F7" s="2"/>
      <c r="H7" s="12"/>
      <c r="I7" s="13"/>
      <c r="J7" s="13"/>
      <c r="K7" s="13"/>
      <c r="L7" s="13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6"/>
    </row>
    <row r="8" spans="1:28" ht="15.75" customHeight="1" x14ac:dyDescent="0.3">
      <c r="A8" s="2"/>
      <c r="B8" s="36" t="s">
        <v>8</v>
      </c>
      <c r="C8" s="37"/>
      <c r="D8" s="2"/>
      <c r="E8" s="36" t="s">
        <v>9</v>
      </c>
      <c r="F8" s="37"/>
      <c r="H8" s="12"/>
      <c r="I8" s="13"/>
      <c r="J8" s="13"/>
      <c r="K8" s="13"/>
      <c r="L8" s="13"/>
      <c r="M8" s="13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6"/>
    </row>
    <row r="9" spans="1:28" ht="13.2" x14ac:dyDescent="0.25">
      <c r="A9" s="21"/>
      <c r="B9" s="3" t="s">
        <v>10</v>
      </c>
      <c r="C9" s="4" t="s">
        <v>11</v>
      </c>
      <c r="D9" s="2"/>
      <c r="E9" s="3" t="s">
        <v>12</v>
      </c>
      <c r="F9" s="4" t="s">
        <v>13</v>
      </c>
      <c r="H9" s="12"/>
      <c r="I9" s="13"/>
      <c r="J9" s="13"/>
      <c r="K9" s="13"/>
      <c r="L9" s="13"/>
      <c r="M9" s="13"/>
      <c r="N9" s="13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6"/>
    </row>
    <row r="10" spans="1:28" ht="13.2" x14ac:dyDescent="0.25">
      <c r="A10" s="21"/>
      <c r="B10" s="22" t="s">
        <v>19</v>
      </c>
      <c r="C10" s="23" t="s">
        <v>22</v>
      </c>
      <c r="D10" s="21"/>
      <c r="E10" s="22" t="s">
        <v>16</v>
      </c>
      <c r="F10" s="23" t="s">
        <v>25</v>
      </c>
      <c r="H10" s="12"/>
      <c r="I10" s="13"/>
      <c r="J10" s="13"/>
      <c r="K10" s="13"/>
      <c r="L10" s="13"/>
      <c r="M10" s="13"/>
      <c r="N10" s="13"/>
      <c r="O10" s="13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6"/>
    </row>
    <row r="11" spans="1:28" ht="13.2" x14ac:dyDescent="0.25">
      <c r="A11" s="21"/>
      <c r="B11" s="22" t="s">
        <v>20</v>
      </c>
      <c r="C11" s="23" t="s">
        <v>23</v>
      </c>
      <c r="D11" s="21"/>
      <c r="E11" s="22" t="s">
        <v>17</v>
      </c>
      <c r="F11" s="23" t="s">
        <v>26</v>
      </c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6"/>
    </row>
    <row r="12" spans="1:28" ht="13.2" x14ac:dyDescent="0.25">
      <c r="A12" s="21"/>
      <c r="B12" s="22" t="s">
        <v>21</v>
      </c>
      <c r="C12" s="23" t="s">
        <v>24</v>
      </c>
      <c r="D12" s="21"/>
      <c r="E12" s="22" t="s">
        <v>18</v>
      </c>
      <c r="F12" s="23" t="s">
        <v>27</v>
      </c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4"/>
      <c r="T12" s="14"/>
      <c r="U12" s="14"/>
      <c r="V12" s="14"/>
      <c r="W12" s="14"/>
      <c r="X12" s="14"/>
      <c r="Y12" s="14"/>
      <c r="Z12" s="14"/>
      <c r="AA12" s="14"/>
      <c r="AB12" s="16"/>
    </row>
    <row r="13" spans="1:28" ht="13.2" x14ac:dyDescent="0.25">
      <c r="A13" s="21"/>
      <c r="B13" s="22"/>
      <c r="C13" s="23"/>
      <c r="D13" s="21"/>
      <c r="E13" s="22"/>
      <c r="F13" s="23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4"/>
      <c r="U13" s="14"/>
      <c r="V13" s="14"/>
      <c r="W13" s="14"/>
      <c r="X13" s="14"/>
      <c r="Y13" s="14"/>
      <c r="Z13" s="14"/>
      <c r="AA13" s="14"/>
      <c r="AB13" s="16"/>
    </row>
    <row r="14" spans="1:28" ht="13.2" x14ac:dyDescent="0.25">
      <c r="A14" s="21"/>
      <c r="B14" s="22"/>
      <c r="C14" s="23"/>
      <c r="D14" s="21"/>
      <c r="E14" s="22"/>
      <c r="F14" s="23"/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4"/>
      <c r="V14" s="14"/>
      <c r="W14" s="14"/>
      <c r="X14" s="14"/>
      <c r="Y14" s="14"/>
      <c r="Z14" s="14"/>
      <c r="AA14" s="14"/>
      <c r="AB14" s="16"/>
    </row>
    <row r="15" spans="1:28" ht="13.2" x14ac:dyDescent="0.25">
      <c r="A15" s="21"/>
      <c r="B15" s="22"/>
      <c r="C15" s="23"/>
      <c r="D15" s="21"/>
      <c r="E15" s="22"/>
      <c r="F15" s="23"/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4"/>
      <c r="X15" s="14"/>
      <c r="Y15" s="14"/>
      <c r="Z15" s="14"/>
      <c r="AA15" s="14"/>
      <c r="AB15" s="16"/>
    </row>
    <row r="16" spans="1:28" ht="13.2" x14ac:dyDescent="0.25">
      <c r="A16" s="21"/>
      <c r="B16" s="22"/>
      <c r="C16" s="23"/>
      <c r="D16" s="21"/>
      <c r="E16" s="22"/>
      <c r="F16" s="23"/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4"/>
      <c r="X16" s="14"/>
      <c r="Y16" s="14"/>
      <c r="Z16" s="14"/>
      <c r="AA16" s="14"/>
      <c r="AB16" s="16"/>
    </row>
    <row r="17" spans="1:28" ht="13.2" x14ac:dyDescent="0.25">
      <c r="A17" s="21"/>
      <c r="B17" s="22"/>
      <c r="C17" s="23"/>
      <c r="D17" s="21"/>
      <c r="E17" s="22"/>
      <c r="F17" s="23"/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4"/>
      <c r="Y17" s="14"/>
      <c r="Z17" s="14"/>
      <c r="AA17" s="14"/>
      <c r="AB17" s="16"/>
    </row>
    <row r="18" spans="1:28" ht="13.2" x14ac:dyDescent="0.25">
      <c r="A18" s="21"/>
      <c r="B18" s="22"/>
      <c r="C18" s="23"/>
      <c r="D18" s="21"/>
      <c r="E18" s="22"/>
      <c r="F18" s="23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14"/>
      <c r="AA18" s="14"/>
      <c r="AB18" s="16"/>
    </row>
    <row r="19" spans="1:28" ht="13.2" x14ac:dyDescent="0.25">
      <c r="A19" s="21"/>
      <c r="B19" s="22"/>
      <c r="C19" s="23"/>
      <c r="D19" s="21"/>
      <c r="E19" s="22"/>
      <c r="F19" s="23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4"/>
      <c r="AA19" s="15"/>
      <c r="AB19" s="16"/>
    </row>
    <row r="20" spans="1:28" ht="13.2" x14ac:dyDescent="0.25">
      <c r="A20" s="21"/>
      <c r="B20" s="22"/>
      <c r="C20" s="23"/>
      <c r="D20" s="21"/>
      <c r="E20" s="22"/>
      <c r="F20" s="23"/>
      <c r="H20" s="1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5"/>
      <c r="AB20" s="16"/>
    </row>
    <row r="21" spans="1:28" ht="13.8" thickBot="1" x14ac:dyDescent="0.3">
      <c r="A21" s="21"/>
      <c r="B21" s="22"/>
      <c r="C21" s="23"/>
      <c r="D21" s="21"/>
      <c r="E21" s="22"/>
      <c r="F21" s="23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0"/>
      <c r="AB21" s="16"/>
    </row>
    <row r="22" spans="1:28" ht="13.2" x14ac:dyDescent="0.25">
      <c r="A22" s="21"/>
      <c r="B22" s="22"/>
      <c r="C22" s="23"/>
      <c r="D22" s="21"/>
      <c r="E22" s="22"/>
      <c r="F22" s="23"/>
      <c r="AB22" s="26"/>
    </row>
    <row r="23" spans="1:28" ht="15.75" customHeight="1" thickBot="1" x14ac:dyDescent="0.35">
      <c r="A23" s="21"/>
      <c r="B23" s="22"/>
      <c r="C23" s="23"/>
      <c r="D23" s="21"/>
      <c r="E23" s="22"/>
      <c r="F23" s="23"/>
      <c r="H23" s="36" t="s">
        <v>14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</row>
    <row r="24" spans="1:28" ht="26.4" x14ac:dyDescent="0.25">
      <c r="A24" s="21"/>
      <c r="B24" s="22"/>
      <c r="C24" s="23"/>
      <c r="D24" s="21"/>
      <c r="E24" s="22"/>
      <c r="F24" s="23"/>
      <c r="H24" s="27"/>
      <c r="I24" s="28" t="str">
        <f t="shared" ref="I24:Q24" si="4">INDEX($C$10:$C$28,COLUMN()-8)</f>
        <v>КВАРТИРА 1</v>
      </c>
      <c r="J24" s="28" t="str">
        <f t="shared" si="4"/>
        <v>КВАРТИРА 2</v>
      </c>
      <c r="K24" s="28" t="str">
        <f t="shared" si="4"/>
        <v>КВАРТИРА 3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9" t="s">
        <v>15</v>
      </c>
    </row>
    <row r="25" spans="1:28" ht="13.2" x14ac:dyDescent="0.25">
      <c r="A25" s="21"/>
      <c r="B25" s="22"/>
      <c r="C25" s="23"/>
      <c r="D25" s="21"/>
      <c r="E25" s="22"/>
      <c r="F25" s="23"/>
      <c r="H25" s="30" t="str">
        <f t="shared" ref="H25:H33" si="5">F10</f>
        <v>ЦЕНА</v>
      </c>
      <c r="I25" s="31">
        <v>100</v>
      </c>
      <c r="J25" s="31">
        <v>150</v>
      </c>
      <c r="K25" s="31">
        <v>120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2">
        <v>0</v>
      </c>
    </row>
    <row r="26" spans="1:28" ht="13.2" x14ac:dyDescent="0.25">
      <c r="A26" s="21"/>
      <c r="B26" s="22"/>
      <c r="C26" s="23"/>
      <c r="D26" s="21"/>
      <c r="E26" s="22"/>
      <c r="F26" s="23"/>
      <c r="H26" s="30" t="str">
        <f t="shared" si="5"/>
        <v>КАЧЕСТВО</v>
      </c>
      <c r="I26" s="31">
        <v>8</v>
      </c>
      <c r="J26" s="31">
        <v>7</v>
      </c>
      <c r="K26" s="31">
        <v>9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2">
        <v>1</v>
      </c>
    </row>
    <row r="27" spans="1:28" ht="13.2" x14ac:dyDescent="0.25">
      <c r="A27" s="21"/>
      <c r="B27" s="22"/>
      <c r="C27" s="23"/>
      <c r="D27" s="21"/>
      <c r="E27" s="22"/>
      <c r="F27" s="23"/>
      <c r="H27" s="30" t="str">
        <f t="shared" si="5"/>
        <v>ДОСТУПНОСТЬ</v>
      </c>
      <c r="I27" s="31">
        <v>5</v>
      </c>
      <c r="J27" s="31">
        <v>6</v>
      </c>
      <c r="K27" s="31">
        <v>4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2">
        <v>1</v>
      </c>
    </row>
    <row r="28" spans="1:28" ht="13.2" x14ac:dyDescent="0.25">
      <c r="B28" s="22"/>
      <c r="C28" s="23"/>
      <c r="D28" s="21"/>
      <c r="E28" s="22"/>
      <c r="F28" s="23"/>
      <c r="H28" s="3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2"/>
    </row>
    <row r="29" spans="1:28" ht="13.2" x14ac:dyDescent="0.25">
      <c r="H29" s="30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2"/>
    </row>
    <row r="30" spans="1:28" ht="13.2" x14ac:dyDescent="0.25">
      <c r="H30" s="30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2"/>
    </row>
    <row r="31" spans="1:28" ht="13.2" x14ac:dyDescent="0.25">
      <c r="H31" s="3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2"/>
    </row>
    <row r="32" spans="1:28" ht="13.2" x14ac:dyDescent="0.25">
      <c r="H32" s="30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2"/>
    </row>
    <row r="33" spans="8:28" ht="13.2" x14ac:dyDescent="0.25">
      <c r="H33" s="30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2"/>
    </row>
    <row r="34" spans="8:28" ht="13.2" x14ac:dyDescent="0.25">
      <c r="H34" s="30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2"/>
    </row>
    <row r="35" spans="8:28" ht="13.2" x14ac:dyDescent="0.25">
      <c r="H35" s="3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2"/>
    </row>
    <row r="36" spans="8:28" ht="13.2" x14ac:dyDescent="0.25">
      <c r="H36" s="3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2"/>
    </row>
    <row r="37" spans="8:28" ht="13.2" x14ac:dyDescent="0.25">
      <c r="H37" s="30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2"/>
    </row>
    <row r="38" spans="8:28" ht="13.2" x14ac:dyDescent="0.25">
      <c r="H38" s="3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2"/>
    </row>
    <row r="39" spans="8:28" ht="13.2" x14ac:dyDescent="0.25">
      <c r="H39" s="3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2"/>
    </row>
    <row r="40" spans="8:28" ht="13.2" x14ac:dyDescent="0.25">
      <c r="H40" s="30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2"/>
    </row>
    <row r="41" spans="8:28" ht="13.2" x14ac:dyDescent="0.25">
      <c r="H41" s="30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2"/>
    </row>
    <row r="42" spans="8:28" ht="13.2" x14ac:dyDescent="0.25">
      <c r="H42" s="30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2"/>
    </row>
    <row r="43" spans="8:28" ht="13.8" thickBot="1" x14ac:dyDescent="0.3">
      <c r="H43" s="33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4"/>
    </row>
  </sheetData>
  <mergeCells count="5">
    <mergeCell ref="B1:C1"/>
    <mergeCell ref="H1:AA1"/>
    <mergeCell ref="B8:C8"/>
    <mergeCell ref="E8:F8"/>
    <mergeCell ref="H23:AB2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Овсейчик</dc:creator>
  <cp:lastModifiedBy>Николай Овсейчик</cp:lastModifiedBy>
  <dcterms:created xsi:type="dcterms:W3CDTF">2026-02-27T17:11:06Z</dcterms:created>
  <dcterms:modified xsi:type="dcterms:W3CDTF">2026-03-01T17:11:37Z</dcterms:modified>
</cp:coreProperties>
</file>