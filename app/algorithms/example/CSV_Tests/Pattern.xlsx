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tudy\Programming\Github\6sem\DTA\"/>
    </mc:Choice>
  </mc:AlternateContent>
  <xr:revisionPtr revIDLastSave="0" documentId="8_{0AA483A2-58EA-4016-A5C3-1AC9181B5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C10" i="1"/>
  <c r="C11" i="1"/>
  <c r="F28" i="1"/>
  <c r="H43" i="1" s="1"/>
  <c r="C28" i="1"/>
  <c r="F27" i="1"/>
  <c r="H42" i="1" s="1"/>
  <c r="C27" i="1"/>
  <c r="F26" i="1"/>
  <c r="H41" i="1" s="1"/>
  <c r="C26" i="1"/>
  <c r="F25" i="1"/>
  <c r="H40" i="1" s="1"/>
  <c r="C25" i="1"/>
  <c r="AA24" i="1"/>
  <c r="Z24" i="1"/>
  <c r="Y24" i="1"/>
  <c r="X24" i="1"/>
  <c r="V24" i="1"/>
  <c r="U24" i="1"/>
  <c r="S24" i="1"/>
  <c r="F24" i="1"/>
  <c r="H39" i="1" s="1"/>
  <c r="C24" i="1"/>
  <c r="W24" i="1" s="1"/>
  <c r="F23" i="1"/>
  <c r="H38" i="1" s="1"/>
  <c r="C23" i="1"/>
  <c r="F22" i="1"/>
  <c r="H37" i="1" s="1"/>
  <c r="C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F21" i="1"/>
  <c r="H36" i="1" s="1"/>
  <c r="C21" i="1"/>
  <c r="T24" i="1" s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F20" i="1"/>
  <c r="H13" i="1" s="1"/>
  <c r="S2" i="1" s="1"/>
  <c r="C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Y2" i="1" s="1"/>
  <c r="F19" i="1"/>
  <c r="H34" i="1" s="1"/>
  <c r="C19" i="1"/>
  <c r="R24" i="1" s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F18" i="1"/>
  <c r="H33" i="1" s="1"/>
  <c r="C18" i="1"/>
  <c r="Q24" i="1" s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W2" i="1" s="1"/>
  <c r="F17" i="1"/>
  <c r="H32" i="1" s="1"/>
  <c r="C17" i="1"/>
  <c r="P24" i="1" s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V2" i="1" s="1"/>
  <c r="F16" i="1"/>
  <c r="H31" i="1" s="1"/>
  <c r="C16" i="1"/>
  <c r="O24" i="1" s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F15" i="1"/>
  <c r="H30" i="1" s="1"/>
  <c r="C15" i="1"/>
  <c r="N24" i="1" s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T2" i="1" s="1"/>
  <c r="F14" i="1"/>
  <c r="H29" i="1" s="1"/>
  <c r="C14" i="1"/>
  <c r="M24" i="1" s="1"/>
  <c r="S13" i="1"/>
  <c r="R13" i="1"/>
  <c r="Q13" i="1"/>
  <c r="P13" i="1"/>
  <c r="O13" i="1"/>
  <c r="N13" i="1"/>
  <c r="M13" i="1"/>
  <c r="L13" i="1"/>
  <c r="K13" i="1"/>
  <c r="J13" i="1"/>
  <c r="I13" i="1"/>
  <c r="F13" i="1"/>
  <c r="H6" i="1" s="1"/>
  <c r="L2" i="1" s="1"/>
  <c r="C13" i="1"/>
  <c r="L24" i="1" s="1"/>
  <c r="R12" i="1"/>
  <c r="Q12" i="1"/>
  <c r="P12" i="1"/>
  <c r="O12" i="1"/>
  <c r="N12" i="1"/>
  <c r="M12" i="1"/>
  <c r="L12" i="1"/>
  <c r="K12" i="1"/>
  <c r="J12" i="1"/>
  <c r="I12" i="1"/>
  <c r="H12" i="1"/>
  <c r="R2" i="1" s="1"/>
  <c r="F12" i="1"/>
  <c r="H5" i="1" s="1"/>
  <c r="K2" i="1" s="1"/>
  <c r="C12" i="1"/>
  <c r="K24" i="1" s="1"/>
  <c r="Q11" i="1"/>
  <c r="P11" i="1"/>
  <c r="O11" i="1"/>
  <c r="N11" i="1"/>
  <c r="M11" i="1"/>
  <c r="L11" i="1"/>
  <c r="K11" i="1"/>
  <c r="J11" i="1"/>
  <c r="I11" i="1"/>
  <c r="H11" i="1"/>
  <c r="Q2" i="1" s="1"/>
  <c r="F11" i="1"/>
  <c r="H4" i="1" s="1"/>
  <c r="J2" i="1" s="1"/>
  <c r="J24" i="1"/>
  <c r="P10" i="1"/>
  <c r="O10" i="1"/>
  <c r="N10" i="1"/>
  <c r="M10" i="1"/>
  <c r="L10" i="1"/>
  <c r="K10" i="1"/>
  <c r="J10" i="1"/>
  <c r="I10" i="1"/>
  <c r="H10" i="1"/>
  <c r="F10" i="1"/>
  <c r="H25" i="1" s="1"/>
  <c r="I24" i="1"/>
  <c r="O9" i="1"/>
  <c r="N9" i="1"/>
  <c r="M9" i="1"/>
  <c r="L9" i="1"/>
  <c r="K9" i="1"/>
  <c r="J9" i="1"/>
  <c r="I9" i="1"/>
  <c r="H9" i="1"/>
  <c r="O2" i="1" s="1"/>
  <c r="N8" i="1"/>
  <c r="M8" i="1"/>
  <c r="L8" i="1"/>
  <c r="K8" i="1"/>
  <c r="J8" i="1"/>
  <c r="I8" i="1"/>
  <c r="M7" i="1"/>
  <c r="L7" i="1"/>
  <c r="K7" i="1"/>
  <c r="J7" i="1"/>
  <c r="I7" i="1"/>
  <c r="H7" i="1"/>
  <c r="M2" i="1" s="1"/>
  <c r="L6" i="1"/>
  <c r="K6" i="1"/>
  <c r="J6" i="1"/>
  <c r="I6" i="1"/>
  <c r="K5" i="1"/>
  <c r="J5" i="1"/>
  <c r="I5" i="1"/>
  <c r="J4" i="1"/>
  <c r="I3" i="1"/>
  <c r="AA2" i="1"/>
  <c r="U2" i="1"/>
  <c r="P2" i="1"/>
  <c r="H20" i="1" l="1"/>
  <c r="Z2" i="1" s="1"/>
  <c r="H18" i="1"/>
  <c r="X2" i="1" s="1"/>
  <c r="H3" i="1"/>
  <c r="I2" i="1" s="1"/>
  <c r="H26" i="1"/>
  <c r="H35" i="1"/>
  <c r="H27" i="1"/>
  <c r="H28" i="1"/>
  <c r="H8" i="1"/>
  <c r="N2" i="1" s="1"/>
  <c r="AA21" i="1"/>
  <c r="AA21" i="1" a="1"/>
</calcChain>
</file>

<file path=xl/sharedStrings.xml><?xml version="1.0" encoding="utf-8"?>
<sst xmlns="http://schemas.openxmlformats.org/spreadsheetml/2006/main" count="54" uniqueCount="49">
  <si>
    <t>Легенда</t>
  </si>
  <si>
    <t>Сравнительная таблица важности критериев относительно друг друга</t>
  </si>
  <si>
    <t>Цвет</t>
  </si>
  <si>
    <t>Тип пользовательского ввода</t>
  </si>
  <si>
    <t>строка</t>
  </si>
  <si>
    <t>целое число от 0 до 5</t>
  </si>
  <si>
    <t>произвольное число</t>
  </si>
  <si>
    <t>0 или 1</t>
  </si>
  <si>
    <t>Названия альтернатив</t>
  </si>
  <si>
    <t>Названия критериев</t>
  </si>
  <si>
    <t>Альтернатива</t>
  </si>
  <si>
    <t>Название альтернативы</t>
  </si>
  <si>
    <t>Критерий</t>
  </si>
  <si>
    <t>Название критерия</t>
  </si>
  <si>
    <t>К5</t>
  </si>
  <si>
    <t>К6</t>
  </si>
  <si>
    <t>А7</t>
  </si>
  <si>
    <t>А8</t>
  </si>
  <si>
    <t>К8</t>
  </si>
  <si>
    <t>А9</t>
  </si>
  <si>
    <t>К9</t>
  </si>
  <si>
    <t>А10</t>
  </si>
  <si>
    <t>К10</t>
  </si>
  <si>
    <t>А11</t>
  </si>
  <si>
    <t>К11</t>
  </si>
  <si>
    <t>А12</t>
  </si>
  <si>
    <t>А13</t>
  </si>
  <si>
    <t>К13</t>
  </si>
  <si>
    <t>А14</t>
  </si>
  <si>
    <t>К14</t>
  </si>
  <si>
    <t>Значения критериев</t>
  </si>
  <si>
    <t>А15</t>
  </si>
  <si>
    <t>К15</t>
  </si>
  <si>
    <t>Сортировать по возрастанию?</t>
  </si>
  <si>
    <t>А16</t>
  </si>
  <si>
    <t>А17</t>
  </si>
  <si>
    <t>А18</t>
  </si>
  <si>
    <t>А19</t>
  </si>
  <si>
    <t>К19</t>
  </si>
  <si>
    <t>Цена</t>
  </si>
  <si>
    <t>ааыав</t>
  </si>
  <si>
    <t>уцйу</t>
  </si>
  <si>
    <t>увв</t>
  </si>
  <si>
    <t>куе3</t>
  </si>
  <si>
    <t>432пол</t>
  </si>
  <si>
    <t>Каавыа</t>
  </si>
  <si>
    <t>КВАРТИРА</t>
  </si>
  <si>
    <t>ПЕСОК</t>
  </si>
  <si>
    <t>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</si>
</sst>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i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/>
    <xf numFmtId="0" fontId="3" fillId="0" borderId="6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/>
    <xf numFmtId="0" fontId="2" fillId="0" borderId="7" xfId="0" applyFont="1" applyBorder="1"/>
    <xf numFmtId="0" fontId="3" fillId="0" borderId="9" xfId="0" applyFont="1" applyBorder="1" applyAlignment="1">
      <alignment horizontal="center"/>
    </xf>
    <xf numFmtId="0" fontId="3" fillId="2" borderId="0" xfId="0" applyFont="1" applyFill="1"/>
    <xf numFmtId="0" fontId="3" fillId="0" borderId="1" xfId="0" applyFont="1" applyBorder="1"/>
    <xf numFmtId="0" fontId="3" fillId="0" borderId="3" xfId="0" applyFont="1" applyBorder="1"/>
    <xf numFmtId="0" fontId="3" fillId="2" borderId="2" xfId="0" applyFont="1" applyFill="1" applyBorder="1" applyAlignment="1">
      <alignment wrapText="1"/>
    </xf>
    <xf numFmtId="0" fontId="3" fillId="0" borderId="4" xfId="0" applyFont="1" applyBorder="1"/>
    <xf numFmtId="0" fontId="3" fillId="5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8" xfId="0" applyFont="1" applyFill="1" applyBorder="1"/>
    <xf numFmtId="0" fontId="3" fillId="0" borderId="7" xfId="0" applyFont="1" applyBorder="1"/>
    <xf numFmtId="0" fontId="3" fillId="6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2" fontId="3" fillId="4" borderId="6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3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1" max="1" width="6.33203125" customWidth="1"/>
    <col min="2" max="2" width="13.44140625" customWidth="1"/>
    <col min="3" max="3" width="26.88671875" customWidth="1"/>
    <col min="4" max="4" width="5.77734375" customWidth="1"/>
    <col min="5" max="5" width="11" customWidth="1"/>
    <col min="6" max="6" width="30.77734375" customWidth="1"/>
    <col min="7" max="7" width="5.6640625" customWidth="1"/>
    <col min="28" max="28" width="26.109375" customWidth="1"/>
  </cols>
  <sheetData>
    <row r="1" spans="1:28" ht="15.75" customHeight="1" x14ac:dyDescent="0.3">
      <c r="A1" s="1"/>
      <c r="B1" s="37" t="s">
        <v>0</v>
      </c>
      <c r="C1" s="38"/>
      <c r="D1" s="2"/>
      <c r="E1" s="2"/>
      <c r="F1" s="2"/>
      <c r="H1" s="37" t="s">
        <v>1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1"/>
    </row>
    <row r="2" spans="1:28" x14ac:dyDescent="0.25">
      <c r="A2" s="2"/>
      <c r="B2" s="3" t="s">
        <v>2</v>
      </c>
      <c r="C2" s="4" t="s">
        <v>3</v>
      </c>
      <c r="D2" s="2"/>
      <c r="E2" s="2"/>
      <c r="F2" s="2"/>
      <c r="H2" s="5"/>
      <c r="I2" s="6" t="str">
        <f>H3</f>
        <v>Каавыа</v>
      </c>
      <c r="J2" s="6" t="str">
        <f>H4</f>
        <v>КВАРТИРА</v>
      </c>
      <c r="K2" s="6" t="str">
        <f>H5</f>
        <v>ПЕСОК</v>
      </c>
      <c r="L2" s="6" t="str">
        <f>H6</f>
        <v>СОК</v>
      </c>
      <c r="M2" s="6" t="str">
        <f>H7</f>
        <v>К5</v>
      </c>
      <c r="N2" s="6" t="str">
        <f>H8</f>
        <v>К6</v>
      </c>
      <c r="O2" s="6" t="str">
        <f>H9</f>
        <v>ПЕСОК</v>
      </c>
      <c r="P2" s="6" t="str">
        <f>H10</f>
        <v>К8</v>
      </c>
      <c r="Q2" s="6" t="str">
        <f>H11</f>
        <v>К9</v>
      </c>
      <c r="R2" s="6" t="str">
        <f>H12</f>
        <v>К10</v>
      </c>
      <c r="S2" s="6" t="str">
        <f>H13</f>
        <v>К11</v>
      </c>
      <c r="T2" s="6" t="str">
        <f>H14</f>
        <v>ПЕСОК</v>
      </c>
      <c r="U2" s="6" t="str">
        <f>H15</f>
        <v>К13</v>
      </c>
      <c r="V2" s="6" t="str">
        <f>H16</f>
        <v>К14</v>
      </c>
      <c r="W2" s="6" t="str">
        <f>H17</f>
        <v>К15</v>
      </c>
      <c r="X2" s="6" t="str">
        <f>H18</f>
        <v>ПЕСОК</v>
      </c>
      <c r="Y2" s="6" t="str">
        <f>H19</f>
        <v>ПЕСОК</v>
      </c>
      <c r="Z2" s="6" t="str">
        <f>H20</f>
        <v>ПЕСОК</v>
      </c>
      <c r="AA2" s="7" t="str">
        <f>H21</f>
        <v>К19</v>
      </c>
      <c r="AB2" s="8"/>
    </row>
    <row r="3" spans="1:28" x14ac:dyDescent="0.25">
      <c r="A3" s="9"/>
      <c r="B3" s="10"/>
      <c r="C3" s="11" t="s">
        <v>4</v>
      </c>
      <c r="D3" s="2"/>
      <c r="E3" s="2"/>
      <c r="F3" s="2"/>
      <c r="H3" s="12" t="str">
        <f t="shared" ref="H3:H21" si="0">F10</f>
        <v>Каавыа</v>
      </c>
      <c r="I3" s="13">
        <f t="shared" ref="I3:I21" si="1">IF(ROW()=COLUMN()-COLUMN($I$3)+ROW($I$3),
1,
IF(ROW()&gt;COLUMN()-COLUMN($I$3)+ROW($I$3),
1/INDEX($I$3:$AA$21,
COLUMN()-COLUMN($I$3)+1,
ROW()-ROW($I$3)+1),
""))</f>
        <v>1</v>
      </c>
      <c r="J3" s="39">
        <v>2</v>
      </c>
      <c r="K3" s="14">
        <v>3</v>
      </c>
      <c r="L3" s="14">
        <v>2</v>
      </c>
      <c r="M3" s="14">
        <v>5</v>
      </c>
      <c r="N3" s="14">
        <v>5</v>
      </c>
      <c r="O3" s="14">
        <v>5</v>
      </c>
      <c r="P3" s="14">
        <v>5</v>
      </c>
      <c r="Q3" s="14">
        <v>5</v>
      </c>
      <c r="R3" s="14">
        <v>5</v>
      </c>
      <c r="S3" s="14">
        <v>5</v>
      </c>
      <c r="T3" s="14">
        <v>5</v>
      </c>
      <c r="U3" s="14">
        <v>5</v>
      </c>
      <c r="V3" s="14">
        <v>5</v>
      </c>
      <c r="W3" s="14">
        <v>5</v>
      </c>
      <c r="X3" s="14">
        <v>5</v>
      </c>
      <c r="Y3" s="14">
        <v>5</v>
      </c>
      <c r="Z3" s="14">
        <v>5</v>
      </c>
      <c r="AA3" s="14">
        <v>5</v>
      </c>
      <c r="AB3" s="16"/>
    </row>
    <row r="4" spans="1:28" x14ac:dyDescent="0.25">
      <c r="A4" s="9"/>
      <c r="B4" s="17"/>
      <c r="C4" s="11" t="s">
        <v>5</v>
      </c>
      <c r="D4" s="2"/>
      <c r="E4" s="2"/>
      <c r="F4" s="2"/>
      <c r="H4" s="12" t="str">
        <f t="shared" si="0"/>
        <v>КВАРТИРА</v>
      </c>
      <c r="I4" s="13">
        <f>IF(ROW()=COLUMN()-COLUMN($I$3)+ROW($I$3),
1,
IF(ROW()&gt;COLUMN()-COLUMN($I$3)+ROW($I$3),
1/INDEX($I$3:$AA$21,
COLUMN()-COLUMN($I$3)+1,
ROW()-ROW($I$3)+1),
""))</f>
        <v>0.5</v>
      </c>
      <c r="J4" s="13">
        <f t="shared" ref="J4:J21" si="2">IF(ROW()=COLUMN()-COLUMN($I$3)+ROW($I$3),
1,
IF(ROW()&gt;COLUMN()-COLUMN($I$3)+ROW($I$3),
1/INDEX($I$3:$AA$21,
COLUMN()-COLUMN($I$3)+1,
ROW()-ROW($I$3)+1),
""))</f>
        <v>1</v>
      </c>
      <c r="K4" s="14">
        <v>3</v>
      </c>
      <c r="L4" s="14">
        <v>2</v>
      </c>
      <c r="M4" s="14">
        <v>2</v>
      </c>
      <c r="N4" s="14">
        <v>2</v>
      </c>
      <c r="O4" s="14">
        <v>2</v>
      </c>
      <c r="P4" s="14">
        <v>2</v>
      </c>
      <c r="Q4" s="14">
        <v>2</v>
      </c>
      <c r="R4" s="14">
        <v>2</v>
      </c>
      <c r="S4" s="14">
        <v>2</v>
      </c>
      <c r="T4" s="14">
        <v>2</v>
      </c>
      <c r="U4" s="14">
        <v>2</v>
      </c>
      <c r="V4" s="14">
        <v>2</v>
      </c>
      <c r="W4" s="14">
        <v>2</v>
      </c>
      <c r="X4" s="14">
        <v>2</v>
      </c>
      <c r="Y4" s="14">
        <v>2</v>
      </c>
      <c r="Z4" s="14">
        <v>2</v>
      </c>
      <c r="AA4" s="14">
        <v>2</v>
      </c>
      <c r="AB4" s="16"/>
    </row>
    <row r="5" spans="1:28" x14ac:dyDescent="0.25">
      <c r="A5" s="9"/>
      <c r="B5" s="18"/>
      <c r="C5" s="11" t="s">
        <v>6</v>
      </c>
      <c r="D5" s="2"/>
      <c r="E5" s="2"/>
      <c r="F5" s="2"/>
      <c r="H5" s="12" t="str">
        <f t="shared" si="0"/>
        <v>ПЕСОК</v>
      </c>
      <c r="I5" s="13">
        <f t="shared" si="1"/>
        <v>0.33333333333333331</v>
      </c>
      <c r="J5" s="13">
        <f t="shared" si="2"/>
        <v>0.33333333333333331</v>
      </c>
      <c r="K5" s="13">
        <f t="shared" ref="K5:K21" si="3">IF(ROW()=COLUMN()-COLUMN($I$3)+ROW($I$3),
1,
IF(ROW()&gt;COLUMN()-COLUMN($I$3)+ROW($I$3),
1/INDEX($I$3:$AA$21,
COLUMN()-COLUMN($I$3)+1,
ROW()-ROW($I$3)+1),
""))</f>
        <v>1</v>
      </c>
      <c r="L5" s="14">
        <v>2</v>
      </c>
      <c r="M5" s="14">
        <v>3</v>
      </c>
      <c r="N5" s="14">
        <v>3</v>
      </c>
      <c r="O5" s="14">
        <v>3</v>
      </c>
      <c r="P5" s="14">
        <v>3</v>
      </c>
      <c r="Q5" s="14">
        <v>3</v>
      </c>
      <c r="R5" s="14">
        <v>3</v>
      </c>
      <c r="S5" s="14">
        <v>3</v>
      </c>
      <c r="T5" s="14">
        <v>3</v>
      </c>
      <c r="U5" s="14">
        <v>3</v>
      </c>
      <c r="V5" s="14">
        <v>3</v>
      </c>
      <c r="W5" s="14">
        <v>3</v>
      </c>
      <c r="X5" s="14">
        <v>3</v>
      </c>
      <c r="Y5" s="14">
        <v>3</v>
      </c>
      <c r="Z5" s="14">
        <v>3</v>
      </c>
      <c r="AA5" s="14">
        <v>3</v>
      </c>
      <c r="AB5" s="16"/>
    </row>
    <row r="6" spans="1:28" x14ac:dyDescent="0.25">
      <c r="A6" s="9"/>
      <c r="B6" s="19"/>
      <c r="C6" s="20" t="s">
        <v>7</v>
      </c>
      <c r="D6" s="2"/>
      <c r="E6" s="2"/>
      <c r="F6" s="2"/>
      <c r="H6" s="12" t="str">
        <f t="shared" si="0"/>
        <v>СОК</v>
      </c>
      <c r="I6" s="13">
        <f t="shared" si="1"/>
        <v>0.5</v>
      </c>
      <c r="J6" s="13">
        <f t="shared" si="2"/>
        <v>0.5</v>
      </c>
      <c r="K6" s="13">
        <f t="shared" si="3"/>
        <v>0.5</v>
      </c>
      <c r="L6" s="13">
        <f t="shared" ref="L6:L21" si="4">IF(ROW()=COLUMN()-COLUMN($I$3)+ROW($I$3),
1,
IF(ROW()&gt;COLUMN()-COLUMN($I$3)+ROW($I$3),
1/INDEX($I$3:$AA$21,
COLUMN()-COLUMN($I$3)+1,
ROW()-ROW($I$3)+1),
""))</f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Z6" s="14">
        <v>1</v>
      </c>
      <c r="AA6" s="14">
        <v>1</v>
      </c>
      <c r="AB6" s="16"/>
    </row>
    <row r="7" spans="1:28" ht="15.75" customHeight="1" x14ac:dyDescent="0.3">
      <c r="A7" s="2"/>
      <c r="B7" s="1"/>
      <c r="C7" s="1"/>
      <c r="D7" s="2"/>
      <c r="E7" s="2"/>
      <c r="F7" s="2"/>
      <c r="H7" s="12" t="str">
        <f t="shared" si="0"/>
        <v>К5</v>
      </c>
      <c r="I7" s="13">
        <f t="shared" si="1"/>
        <v>0.2</v>
      </c>
      <c r="J7" s="13">
        <f t="shared" si="2"/>
        <v>0.5</v>
      </c>
      <c r="K7" s="13">
        <f t="shared" si="3"/>
        <v>0.33333333333333331</v>
      </c>
      <c r="L7" s="13">
        <f t="shared" si="4"/>
        <v>1</v>
      </c>
      <c r="M7" s="13">
        <f t="shared" ref="M7:M21" si="5">IF(ROW()=COLUMN()-COLUMN($I$3)+ROW($I$3),
1,
IF(ROW()&gt;COLUMN()-COLUMN($I$3)+ROW($I$3),
1/INDEX($I$3:$AA$21,
COLUMN()-COLUMN($I$3)+1,
ROW()-ROW($I$3)+1),
""))</f>
        <v>1</v>
      </c>
      <c r="N7" s="14">
        <v>2</v>
      </c>
      <c r="O7" s="14">
        <v>2</v>
      </c>
      <c r="P7" s="14">
        <v>2</v>
      </c>
      <c r="Q7" s="14">
        <v>2</v>
      </c>
      <c r="R7" s="14">
        <v>2</v>
      </c>
      <c r="S7" s="14">
        <v>2</v>
      </c>
      <c r="T7" s="14">
        <v>2</v>
      </c>
      <c r="U7" s="14">
        <v>2</v>
      </c>
      <c r="V7" s="14">
        <v>2</v>
      </c>
      <c r="W7" s="14">
        <v>2</v>
      </c>
      <c r="X7" s="14">
        <v>2</v>
      </c>
      <c r="Y7" s="14">
        <v>2</v>
      </c>
      <c r="Z7" s="14">
        <v>2</v>
      </c>
      <c r="AA7" s="14">
        <v>2</v>
      </c>
      <c r="AB7" s="16"/>
    </row>
    <row r="8" spans="1:28" ht="15.75" customHeight="1" x14ac:dyDescent="0.3">
      <c r="A8" s="2"/>
      <c r="B8" s="37" t="s">
        <v>8</v>
      </c>
      <c r="C8" s="38"/>
      <c r="D8" s="2"/>
      <c r="E8" s="37" t="s">
        <v>9</v>
      </c>
      <c r="F8" s="38"/>
      <c r="H8" s="12" t="str">
        <f t="shared" si="0"/>
        <v>К6</v>
      </c>
      <c r="I8" s="13">
        <f t="shared" si="1"/>
        <v>0.2</v>
      </c>
      <c r="J8" s="13">
        <f t="shared" si="2"/>
        <v>0.5</v>
      </c>
      <c r="K8" s="13">
        <f t="shared" si="3"/>
        <v>0.33333333333333331</v>
      </c>
      <c r="L8" s="13">
        <f t="shared" si="4"/>
        <v>1</v>
      </c>
      <c r="M8" s="13">
        <f t="shared" si="5"/>
        <v>0.5</v>
      </c>
      <c r="N8" s="13">
        <f t="shared" ref="N8:N21" si="6">IF(ROW()=COLUMN()-COLUMN($I$3)+ROW($I$3),
1,
IF(ROW()&gt;COLUMN()-COLUMN($I$3)+ROW($I$3),
1/INDEX($I$3:$AA$21,
COLUMN()-COLUMN($I$3)+1,
ROW()-ROW($I$3)+1),
""))</f>
        <v>1</v>
      </c>
      <c r="O8" s="14">
        <v>5</v>
      </c>
      <c r="P8" s="14">
        <v>5</v>
      </c>
      <c r="Q8" s="14">
        <v>5</v>
      </c>
      <c r="R8" s="14">
        <v>5</v>
      </c>
      <c r="S8" s="14">
        <v>5</v>
      </c>
      <c r="T8" s="14">
        <v>5</v>
      </c>
      <c r="U8" s="14">
        <v>5</v>
      </c>
      <c r="V8" s="14">
        <v>5</v>
      </c>
      <c r="W8" s="14">
        <v>5</v>
      </c>
      <c r="X8" s="14">
        <v>5</v>
      </c>
      <c r="Y8" s="14">
        <v>5</v>
      </c>
      <c r="Z8" s="14">
        <v>5</v>
      </c>
      <c r="AA8" s="14">
        <v>5</v>
      </c>
      <c r="AB8" s="16"/>
    </row>
    <row r="9" spans="1:28" x14ac:dyDescent="0.25">
      <c r="A9" s="21"/>
      <c r="B9" s="3" t="s">
        <v>10</v>
      </c>
      <c r="C9" s="4" t="s">
        <v>11</v>
      </c>
      <c r="D9" s="2"/>
      <c r="E9" s="3" t="s">
        <v>12</v>
      </c>
      <c r="F9" s="4" t="s">
        <v>13</v>
      </c>
      <c r="H9" s="12" t="str">
        <f t="shared" si="0"/>
        <v>ПЕСОК</v>
      </c>
      <c r="I9" s="13">
        <f t="shared" si="1"/>
        <v>0.2</v>
      </c>
      <c r="J9" s="13">
        <f t="shared" si="2"/>
        <v>0.5</v>
      </c>
      <c r="K9" s="13">
        <f t="shared" si="3"/>
        <v>0.33333333333333331</v>
      </c>
      <c r="L9" s="13">
        <f t="shared" si="4"/>
        <v>1</v>
      </c>
      <c r="M9" s="13">
        <f t="shared" si="5"/>
        <v>0.5</v>
      </c>
      <c r="N9" s="13">
        <f t="shared" si="6"/>
        <v>0.2</v>
      </c>
      <c r="O9" s="13">
        <f t="shared" ref="O9:O21" si="7">IF(ROW()=COLUMN()-COLUMN($I$3)+ROW($I$3),
1,
IF(ROW()&gt;COLUMN()-COLUMN($I$3)+ROW($I$3),
1/INDEX($I$3:$AA$21,
COLUMN()-COLUMN($I$3)+1,
ROW()-ROW($I$3)+1),
""))</f>
        <v>1</v>
      </c>
      <c r="P9" s="14">
        <v>3</v>
      </c>
      <c r="Q9" s="14">
        <v>3</v>
      </c>
      <c r="R9" s="14">
        <v>3</v>
      </c>
      <c r="S9" s="14">
        <v>3</v>
      </c>
      <c r="T9" s="14">
        <v>3</v>
      </c>
      <c r="U9" s="14">
        <v>3</v>
      </c>
      <c r="V9" s="14">
        <v>3</v>
      </c>
      <c r="W9" s="14">
        <v>3</v>
      </c>
      <c r="X9" s="14">
        <v>3</v>
      </c>
      <c r="Y9" s="14">
        <v>3</v>
      </c>
      <c r="Z9" s="14">
        <v>3</v>
      </c>
      <c r="AA9" s="14">
        <v>3</v>
      </c>
      <c r="AB9" s="16"/>
    </row>
    <row r="10" spans="1:28" x14ac:dyDescent="0.25">
      <c r="A10" s="21"/>
      <c r="B10" s="22" t="s">
        <v>39</v>
      </c>
      <c r="C10" s="23" t="str">
        <f>B10</f>
        <v>Цена</v>
      </c>
      <c r="D10" s="21"/>
      <c r="E10" s="22" t="s">
        <v>45</v>
      </c>
      <c r="F10" s="23" t="str">
        <f t="shared" ref="F10:F28" si="8">E10</f>
        <v>Каавыа</v>
      </c>
      <c r="H10" s="12" t="str">
        <f t="shared" si="0"/>
        <v>К8</v>
      </c>
      <c r="I10" s="13">
        <f t="shared" si="1"/>
        <v>0.2</v>
      </c>
      <c r="J10" s="13">
        <f t="shared" si="2"/>
        <v>0.5</v>
      </c>
      <c r="K10" s="13">
        <f t="shared" si="3"/>
        <v>0.33333333333333331</v>
      </c>
      <c r="L10" s="13">
        <f t="shared" si="4"/>
        <v>1</v>
      </c>
      <c r="M10" s="13">
        <f t="shared" si="5"/>
        <v>0.5</v>
      </c>
      <c r="N10" s="13">
        <f t="shared" si="6"/>
        <v>0.2</v>
      </c>
      <c r="O10" s="13">
        <f t="shared" si="7"/>
        <v>0.33333333333333331</v>
      </c>
      <c r="P10" s="13">
        <f t="shared" ref="P10:P21" si="9">IF(ROW()=COLUMN()-COLUMN($I$3)+ROW($I$3),
1,
IF(ROW()&gt;COLUMN()-COLUMN($I$3)+ROW($I$3),
1/INDEX($I$3:$AA$21,
COLUMN()-COLUMN($I$3)+1,
ROW()-ROW($I$3)+1),
""))</f>
        <v>1</v>
      </c>
      <c r="Q10" s="14">
        <v>4</v>
      </c>
      <c r="R10" s="14">
        <v>4</v>
      </c>
      <c r="S10" s="14">
        <v>4</v>
      </c>
      <c r="T10" s="14">
        <v>4</v>
      </c>
      <c r="U10" s="14">
        <v>4</v>
      </c>
      <c r="V10" s="14">
        <v>4</v>
      </c>
      <c r="W10" s="14">
        <v>4</v>
      </c>
      <c r="X10" s="14">
        <v>4</v>
      </c>
      <c r="Y10" s="14">
        <v>4</v>
      </c>
      <c r="Z10" s="14">
        <v>4</v>
      </c>
      <c r="AA10" s="14">
        <v>4</v>
      </c>
      <c r="AB10" s="16"/>
    </row>
    <row r="11" spans="1:28" x14ac:dyDescent="0.25">
      <c r="A11" s="21"/>
      <c r="B11" s="22" t="s">
        <v>40</v>
      </c>
      <c r="C11" s="23" t="str">
        <f>B11</f>
        <v>ааыав</v>
      </c>
      <c r="D11" s="21"/>
      <c r="E11" s="22" t="s">
        <v>46</v>
      </c>
      <c r="F11" s="23" t="str">
        <f t="shared" si="8"/>
        <v>КВАРТИРА</v>
      </c>
      <c r="H11" s="12" t="str">
        <f t="shared" si="0"/>
        <v>К9</v>
      </c>
      <c r="I11" s="13">
        <f t="shared" si="1"/>
        <v>0.2</v>
      </c>
      <c r="J11" s="13">
        <f t="shared" si="2"/>
        <v>0.5</v>
      </c>
      <c r="K11" s="13">
        <f t="shared" si="3"/>
        <v>0.33333333333333331</v>
      </c>
      <c r="L11" s="13">
        <f t="shared" si="4"/>
        <v>1</v>
      </c>
      <c r="M11" s="13">
        <f t="shared" si="5"/>
        <v>0.5</v>
      </c>
      <c r="N11" s="13">
        <f t="shared" si="6"/>
        <v>0.2</v>
      </c>
      <c r="O11" s="13">
        <f t="shared" si="7"/>
        <v>0.33333333333333331</v>
      </c>
      <c r="P11" s="13">
        <f t="shared" si="9"/>
        <v>0.25</v>
      </c>
      <c r="Q11" s="13">
        <f t="shared" ref="Q11:Q21" si="10">IF(ROW()=COLUMN()-COLUMN($I$3)+ROW($I$3),
1,
IF(ROW()&gt;COLUMN()-COLUMN($I$3)+ROW($I$3),
1/INDEX($I$3:$AA$21,
COLUMN()-COLUMN($I$3)+1,
ROW()-ROW($I$3)+1),
""))</f>
        <v>1</v>
      </c>
      <c r="R11" s="14">
        <v>4</v>
      </c>
      <c r="S11" s="14">
        <v>4</v>
      </c>
      <c r="T11" s="14">
        <v>4</v>
      </c>
      <c r="U11" s="14">
        <v>4</v>
      </c>
      <c r="V11" s="14">
        <v>4</v>
      </c>
      <c r="W11" s="14">
        <v>4</v>
      </c>
      <c r="X11" s="14">
        <v>4</v>
      </c>
      <c r="Y11" s="14">
        <v>4</v>
      </c>
      <c r="Z11" s="14">
        <v>4</v>
      </c>
      <c r="AA11" s="14">
        <v>4</v>
      </c>
      <c r="AB11" s="16"/>
    </row>
    <row r="12" spans="1:28" x14ac:dyDescent="0.25">
      <c r="A12" s="21"/>
      <c r="B12" s="22" t="s">
        <v>41</v>
      </c>
      <c r="C12" s="23" t="str">
        <f t="shared" ref="C10:C28" si="11">B12</f>
        <v>уцйу</v>
      </c>
      <c r="D12" s="21"/>
      <c r="E12" s="22" t="s">
        <v>47</v>
      </c>
      <c r="F12" s="23" t="str">
        <f t="shared" si="8"/>
        <v>ПЕСОК</v>
      </c>
      <c r="H12" s="12" t="str">
        <f t="shared" si="0"/>
        <v>К10</v>
      </c>
      <c r="I12" s="13">
        <f t="shared" si="1"/>
        <v>0.2</v>
      </c>
      <c r="J12" s="13">
        <f t="shared" si="2"/>
        <v>0.5</v>
      </c>
      <c r="K12" s="13">
        <f t="shared" si="3"/>
        <v>0.33333333333333331</v>
      </c>
      <c r="L12" s="13">
        <f t="shared" si="4"/>
        <v>1</v>
      </c>
      <c r="M12" s="13">
        <f t="shared" si="5"/>
        <v>0.5</v>
      </c>
      <c r="N12" s="13">
        <f t="shared" si="6"/>
        <v>0.2</v>
      </c>
      <c r="O12" s="13">
        <f t="shared" si="7"/>
        <v>0.33333333333333331</v>
      </c>
      <c r="P12" s="13">
        <f t="shared" si="9"/>
        <v>0.25</v>
      </c>
      <c r="Q12" s="13">
        <f t="shared" si="10"/>
        <v>0.25</v>
      </c>
      <c r="R12" s="13">
        <f t="shared" ref="R12:R21" si="12">IF(ROW()=COLUMN()-COLUMN($I$3)+ROW($I$3),
1,
IF(ROW()&gt;COLUMN()-COLUMN($I$3)+ROW($I$3),
1/INDEX($I$3:$AA$21,
COLUMN()-COLUMN($I$3)+1,
ROW()-ROW($I$3)+1),
""))</f>
        <v>1</v>
      </c>
      <c r="S12" s="14">
        <v>4</v>
      </c>
      <c r="T12" s="14">
        <v>4</v>
      </c>
      <c r="U12" s="14">
        <v>4</v>
      </c>
      <c r="V12" s="14">
        <v>4</v>
      </c>
      <c r="W12" s="14">
        <v>4</v>
      </c>
      <c r="X12" s="14">
        <v>4</v>
      </c>
      <c r="Y12" s="14">
        <v>4</v>
      </c>
      <c r="Z12" s="14">
        <v>4</v>
      </c>
      <c r="AA12" s="14">
        <v>4</v>
      </c>
      <c r="AB12" s="16"/>
    </row>
    <row r="13" spans="1:28" x14ac:dyDescent="0.25">
      <c r="A13" s="21"/>
      <c r="B13" s="22" t="s">
        <v>43</v>
      </c>
      <c r="C13" s="23" t="str">
        <f t="shared" si="11"/>
        <v>куе3</v>
      </c>
      <c r="D13" s="21"/>
      <c r="E13" s="22" t="s">
        <v>48</v>
      </c>
      <c r="F13" s="23" t="str">
        <f t="shared" si="8"/>
        <v>СОК</v>
      </c>
      <c r="H13" s="12" t="str">
        <f t="shared" si="0"/>
        <v>К11</v>
      </c>
      <c r="I13" s="13">
        <f t="shared" si="1"/>
        <v>0.2</v>
      </c>
      <c r="J13" s="13">
        <f t="shared" si="2"/>
        <v>0.5</v>
      </c>
      <c r="K13" s="13">
        <f t="shared" si="3"/>
        <v>0.33333333333333331</v>
      </c>
      <c r="L13" s="13">
        <f t="shared" si="4"/>
        <v>1</v>
      </c>
      <c r="M13" s="13">
        <f t="shared" si="5"/>
        <v>0.5</v>
      </c>
      <c r="N13" s="13">
        <f t="shared" si="6"/>
        <v>0.2</v>
      </c>
      <c r="O13" s="13">
        <f t="shared" si="7"/>
        <v>0.33333333333333331</v>
      </c>
      <c r="P13" s="13">
        <f t="shared" si="9"/>
        <v>0.25</v>
      </c>
      <c r="Q13" s="13">
        <f t="shared" si="10"/>
        <v>0.25</v>
      </c>
      <c r="R13" s="13">
        <f t="shared" si="12"/>
        <v>0.25</v>
      </c>
      <c r="S13" s="13">
        <f t="shared" ref="S13:S21" si="13">IF(ROW()=COLUMN()-COLUMN($I$3)+ROW($I$3),
1,
IF(ROW()&gt;COLUMN()-COLUMN($I$3)+ROW($I$3),
1/INDEX($I$3:$AA$21,
COLUMN()-COLUMN($I$3)+1,
ROW()-ROW($I$3)+1),
""))</f>
        <v>1</v>
      </c>
      <c r="T13" s="14">
        <v>5</v>
      </c>
      <c r="U13" s="14">
        <v>5</v>
      </c>
      <c r="V13" s="14">
        <v>5</v>
      </c>
      <c r="W13" s="14">
        <v>5</v>
      </c>
      <c r="X13" s="14">
        <v>5</v>
      </c>
      <c r="Y13" s="14">
        <v>5</v>
      </c>
      <c r="Z13" s="14">
        <v>5</v>
      </c>
      <c r="AA13" s="14">
        <v>5</v>
      </c>
      <c r="AB13" s="16"/>
    </row>
    <row r="14" spans="1:28" x14ac:dyDescent="0.25">
      <c r="A14" s="21"/>
      <c r="B14" s="22" t="s">
        <v>42</v>
      </c>
      <c r="C14" s="23" t="str">
        <f t="shared" si="11"/>
        <v>увв</v>
      </c>
      <c r="D14" s="21"/>
      <c r="E14" s="22" t="s">
        <v>14</v>
      </c>
      <c r="F14" s="23" t="str">
        <f t="shared" si="8"/>
        <v>К5</v>
      </c>
      <c r="H14" s="12" t="str">
        <f t="shared" si="0"/>
        <v>ПЕСОК</v>
      </c>
      <c r="I14" s="13">
        <f t="shared" si="1"/>
        <v>0.2</v>
      </c>
      <c r="J14" s="13">
        <f t="shared" si="2"/>
        <v>0.5</v>
      </c>
      <c r="K14" s="13">
        <f t="shared" si="3"/>
        <v>0.33333333333333331</v>
      </c>
      <c r="L14" s="13">
        <f t="shared" si="4"/>
        <v>1</v>
      </c>
      <c r="M14" s="13">
        <f t="shared" si="5"/>
        <v>0.5</v>
      </c>
      <c r="N14" s="13">
        <f t="shared" si="6"/>
        <v>0.2</v>
      </c>
      <c r="O14" s="13">
        <f t="shared" si="7"/>
        <v>0.33333333333333331</v>
      </c>
      <c r="P14" s="13">
        <f t="shared" si="9"/>
        <v>0.25</v>
      </c>
      <c r="Q14" s="13">
        <f t="shared" si="10"/>
        <v>0.25</v>
      </c>
      <c r="R14" s="13">
        <f t="shared" si="12"/>
        <v>0.25</v>
      </c>
      <c r="S14" s="13">
        <f t="shared" si="13"/>
        <v>0.2</v>
      </c>
      <c r="T14" s="13">
        <f t="shared" ref="T14:T21" si="14">IF(ROW()=COLUMN()-COLUMN($I$3)+ROW($I$3),
1,
IF(ROW()&gt;COLUMN()-COLUMN($I$3)+ROW($I$3),
1/INDEX($I$3:$AA$21,
COLUMN()-COLUMN($I$3)+1,
ROW()-ROW($I$3)+1),
""))</f>
        <v>1</v>
      </c>
      <c r="U14" s="14">
        <v>3</v>
      </c>
      <c r="V14" s="14">
        <v>3</v>
      </c>
      <c r="W14" s="14">
        <v>3</v>
      </c>
      <c r="X14" s="14">
        <v>3</v>
      </c>
      <c r="Y14" s="14">
        <v>3</v>
      </c>
      <c r="Z14" s="14">
        <v>3</v>
      </c>
      <c r="AA14" s="14">
        <v>3</v>
      </c>
      <c r="AB14" s="16"/>
    </row>
    <row r="15" spans="1:28" x14ac:dyDescent="0.25">
      <c r="A15" s="21"/>
      <c r="B15" s="22" t="s">
        <v>44</v>
      </c>
      <c r="C15" s="23" t="str">
        <f t="shared" si="11"/>
        <v>432пол</v>
      </c>
      <c r="D15" s="21"/>
      <c r="E15" s="22" t="s">
        <v>15</v>
      </c>
      <c r="F15" s="23" t="str">
        <f t="shared" si="8"/>
        <v>К6</v>
      </c>
      <c r="H15" s="12" t="str">
        <f t="shared" si="0"/>
        <v>К13</v>
      </c>
      <c r="I15" s="13">
        <f t="shared" si="1"/>
        <v>0.2</v>
      </c>
      <c r="J15" s="13">
        <f t="shared" si="2"/>
        <v>0.5</v>
      </c>
      <c r="K15" s="13">
        <f t="shared" si="3"/>
        <v>0.33333333333333331</v>
      </c>
      <c r="L15" s="13">
        <f t="shared" si="4"/>
        <v>1</v>
      </c>
      <c r="M15" s="13">
        <f t="shared" si="5"/>
        <v>0.5</v>
      </c>
      <c r="N15" s="13">
        <f t="shared" si="6"/>
        <v>0.2</v>
      </c>
      <c r="O15" s="13">
        <f t="shared" si="7"/>
        <v>0.33333333333333331</v>
      </c>
      <c r="P15" s="13">
        <f t="shared" si="9"/>
        <v>0.25</v>
      </c>
      <c r="Q15" s="13">
        <f t="shared" si="10"/>
        <v>0.25</v>
      </c>
      <c r="R15" s="13">
        <f t="shared" si="12"/>
        <v>0.25</v>
      </c>
      <c r="S15" s="13">
        <f t="shared" si="13"/>
        <v>0.2</v>
      </c>
      <c r="T15" s="13">
        <f t="shared" si="14"/>
        <v>0.33333333333333331</v>
      </c>
      <c r="U15" s="13">
        <f t="shared" ref="U15:U21" si="15">IF(ROW()=COLUMN()-COLUMN($I$3)+ROW($I$3),
1,
IF(ROW()&gt;COLUMN()-COLUMN($I$3)+ROW($I$3),
1/INDEX($I$3:$AA$21,
COLUMN()-COLUMN($I$3)+1,
ROW()-ROW($I$3)+1),
""))</f>
        <v>1</v>
      </c>
      <c r="V15" s="14">
        <v>2</v>
      </c>
      <c r="W15" s="14">
        <v>2</v>
      </c>
      <c r="X15" s="14">
        <v>2</v>
      </c>
      <c r="Y15" s="14">
        <v>2</v>
      </c>
      <c r="Z15" s="14">
        <v>2</v>
      </c>
      <c r="AA15" s="14">
        <v>2</v>
      </c>
      <c r="AB15" s="16"/>
    </row>
    <row r="16" spans="1:28" x14ac:dyDescent="0.25">
      <c r="A16" s="21"/>
      <c r="B16" s="22" t="s">
        <v>16</v>
      </c>
      <c r="C16" s="23" t="str">
        <f t="shared" si="11"/>
        <v>А7</v>
      </c>
      <c r="D16" s="21"/>
      <c r="E16" s="22" t="s">
        <v>47</v>
      </c>
      <c r="F16" s="23" t="str">
        <f t="shared" si="8"/>
        <v>ПЕСОК</v>
      </c>
      <c r="H16" s="12" t="str">
        <f t="shared" si="0"/>
        <v>К14</v>
      </c>
      <c r="I16" s="13">
        <f t="shared" si="1"/>
        <v>0.2</v>
      </c>
      <c r="J16" s="13">
        <f t="shared" si="2"/>
        <v>0.5</v>
      </c>
      <c r="K16" s="13">
        <f t="shared" si="3"/>
        <v>0.33333333333333331</v>
      </c>
      <c r="L16" s="13">
        <f t="shared" si="4"/>
        <v>1</v>
      </c>
      <c r="M16" s="13">
        <f t="shared" si="5"/>
        <v>0.5</v>
      </c>
      <c r="N16" s="13">
        <f t="shared" si="6"/>
        <v>0.2</v>
      </c>
      <c r="O16" s="13">
        <f t="shared" si="7"/>
        <v>0.33333333333333331</v>
      </c>
      <c r="P16" s="13">
        <f t="shared" si="9"/>
        <v>0.25</v>
      </c>
      <c r="Q16" s="13">
        <f t="shared" si="10"/>
        <v>0.25</v>
      </c>
      <c r="R16" s="13">
        <f t="shared" si="12"/>
        <v>0.25</v>
      </c>
      <c r="S16" s="13">
        <f t="shared" si="13"/>
        <v>0.2</v>
      </c>
      <c r="T16" s="13">
        <f t="shared" si="14"/>
        <v>0.33333333333333331</v>
      </c>
      <c r="U16" s="13">
        <f t="shared" si="15"/>
        <v>0.5</v>
      </c>
      <c r="V16" s="13">
        <f t="shared" ref="V16:V21" si="16">IF(ROW()=COLUMN()-COLUMN($I$3)+ROW($I$3),
1,
IF(ROW()&gt;COLUMN()-COLUMN($I$3)+ROW($I$3),
1/INDEX($I$3:$AA$21,
COLUMN()-COLUMN($I$3)+1,
ROW()-ROW($I$3)+1),
""))</f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6"/>
    </row>
    <row r="17" spans="1:28" x14ac:dyDescent="0.25">
      <c r="A17" s="21"/>
      <c r="B17" s="22" t="s">
        <v>17</v>
      </c>
      <c r="C17" s="23" t="str">
        <f t="shared" si="11"/>
        <v>А8</v>
      </c>
      <c r="D17" s="21"/>
      <c r="E17" s="22" t="s">
        <v>18</v>
      </c>
      <c r="F17" s="23" t="str">
        <f t="shared" si="8"/>
        <v>К8</v>
      </c>
      <c r="H17" s="12" t="str">
        <f t="shared" si="0"/>
        <v>К15</v>
      </c>
      <c r="I17" s="13">
        <f t="shared" si="1"/>
        <v>0.2</v>
      </c>
      <c r="J17" s="13">
        <f t="shared" si="2"/>
        <v>0.5</v>
      </c>
      <c r="K17" s="13">
        <f t="shared" si="3"/>
        <v>0.33333333333333331</v>
      </c>
      <c r="L17" s="13">
        <f t="shared" si="4"/>
        <v>1</v>
      </c>
      <c r="M17" s="13">
        <f t="shared" si="5"/>
        <v>0.5</v>
      </c>
      <c r="N17" s="13">
        <f t="shared" si="6"/>
        <v>0.2</v>
      </c>
      <c r="O17" s="13">
        <f t="shared" si="7"/>
        <v>0.33333333333333331</v>
      </c>
      <c r="P17" s="13">
        <f t="shared" si="9"/>
        <v>0.25</v>
      </c>
      <c r="Q17" s="13">
        <f t="shared" si="10"/>
        <v>0.25</v>
      </c>
      <c r="R17" s="13">
        <f t="shared" si="12"/>
        <v>0.25</v>
      </c>
      <c r="S17" s="13">
        <f t="shared" si="13"/>
        <v>0.2</v>
      </c>
      <c r="T17" s="13">
        <f t="shared" si="14"/>
        <v>0.33333333333333331</v>
      </c>
      <c r="U17" s="13">
        <f t="shared" si="15"/>
        <v>0.5</v>
      </c>
      <c r="V17" s="13">
        <f t="shared" si="16"/>
        <v>1</v>
      </c>
      <c r="W17" s="13">
        <f t="shared" ref="W17:W21" si="17">IF(ROW()=COLUMN()-COLUMN($I$3)+ROW($I$3),
1,
IF(ROW()&gt;COLUMN()-COLUMN($I$3)+ROW($I$3),
1/INDEX($I$3:$AA$21,
COLUMN()-COLUMN($I$3)+1,
ROW()-ROW($I$3)+1),
""))</f>
        <v>1</v>
      </c>
      <c r="X17" s="14">
        <v>3</v>
      </c>
      <c r="Y17" s="14">
        <v>3</v>
      </c>
      <c r="Z17" s="14">
        <v>3</v>
      </c>
      <c r="AA17" s="14">
        <v>3</v>
      </c>
      <c r="AB17" s="16"/>
    </row>
    <row r="18" spans="1:28" x14ac:dyDescent="0.25">
      <c r="A18" s="21"/>
      <c r="B18" s="22" t="s">
        <v>19</v>
      </c>
      <c r="C18" s="23" t="str">
        <f t="shared" si="11"/>
        <v>А9</v>
      </c>
      <c r="D18" s="21"/>
      <c r="E18" s="22" t="s">
        <v>20</v>
      </c>
      <c r="F18" s="23" t="str">
        <f t="shared" si="8"/>
        <v>К9</v>
      </c>
      <c r="H18" s="12" t="str">
        <f t="shared" si="0"/>
        <v>ПЕСОК</v>
      </c>
      <c r="I18" s="13">
        <f t="shared" si="1"/>
        <v>0.2</v>
      </c>
      <c r="J18" s="13">
        <f t="shared" si="2"/>
        <v>0.5</v>
      </c>
      <c r="K18" s="13">
        <f t="shared" si="3"/>
        <v>0.33333333333333331</v>
      </c>
      <c r="L18" s="13">
        <f t="shared" si="4"/>
        <v>1</v>
      </c>
      <c r="M18" s="13">
        <f t="shared" si="5"/>
        <v>0.5</v>
      </c>
      <c r="N18" s="13">
        <f t="shared" si="6"/>
        <v>0.2</v>
      </c>
      <c r="O18" s="13">
        <f t="shared" si="7"/>
        <v>0.33333333333333331</v>
      </c>
      <c r="P18" s="13">
        <f t="shared" si="9"/>
        <v>0.25</v>
      </c>
      <c r="Q18" s="13">
        <f t="shared" si="10"/>
        <v>0.25</v>
      </c>
      <c r="R18" s="13">
        <f t="shared" si="12"/>
        <v>0.25</v>
      </c>
      <c r="S18" s="13">
        <f t="shared" si="13"/>
        <v>0.2</v>
      </c>
      <c r="T18" s="13">
        <f t="shared" si="14"/>
        <v>0.33333333333333331</v>
      </c>
      <c r="U18" s="13">
        <f t="shared" si="15"/>
        <v>0.5</v>
      </c>
      <c r="V18" s="13">
        <f t="shared" si="16"/>
        <v>1</v>
      </c>
      <c r="W18" s="13">
        <f t="shared" si="17"/>
        <v>0.33333333333333331</v>
      </c>
      <c r="X18" s="13">
        <f t="shared" ref="X18:X21" si="18">IF(ROW()=COLUMN()-COLUMN($I$3)+ROW($I$3),
1,
IF(ROW()&gt;COLUMN()-COLUMN($I$3)+ROW($I$3),
1/INDEX($I$3:$AA$21,
COLUMN()-COLUMN($I$3)+1,
ROW()-ROW($I$3)+1),
""))</f>
        <v>1</v>
      </c>
      <c r="Y18" s="14">
        <v>4</v>
      </c>
      <c r="Z18" s="14">
        <v>4</v>
      </c>
      <c r="AA18" s="14">
        <v>4</v>
      </c>
      <c r="AB18" s="16"/>
    </row>
    <row r="19" spans="1:28" x14ac:dyDescent="0.25">
      <c r="A19" s="21"/>
      <c r="B19" s="22" t="s">
        <v>21</v>
      </c>
      <c r="C19" s="23" t="str">
        <f t="shared" si="11"/>
        <v>А10</v>
      </c>
      <c r="D19" s="21"/>
      <c r="E19" s="22" t="s">
        <v>22</v>
      </c>
      <c r="F19" s="23" t="str">
        <f t="shared" si="8"/>
        <v>К10</v>
      </c>
      <c r="H19" s="12" t="str">
        <f t="shared" si="0"/>
        <v>ПЕСОК</v>
      </c>
      <c r="I19" s="13">
        <f t="shared" si="1"/>
        <v>0.2</v>
      </c>
      <c r="J19" s="13">
        <f t="shared" si="2"/>
        <v>0.5</v>
      </c>
      <c r="K19" s="13">
        <f t="shared" si="3"/>
        <v>0.33333333333333331</v>
      </c>
      <c r="L19" s="13">
        <f t="shared" si="4"/>
        <v>1</v>
      </c>
      <c r="M19" s="13">
        <f t="shared" si="5"/>
        <v>0.5</v>
      </c>
      <c r="N19" s="13">
        <f t="shared" si="6"/>
        <v>0.2</v>
      </c>
      <c r="O19" s="13">
        <f t="shared" si="7"/>
        <v>0.33333333333333331</v>
      </c>
      <c r="P19" s="13">
        <f t="shared" si="9"/>
        <v>0.25</v>
      </c>
      <c r="Q19" s="13">
        <f t="shared" si="10"/>
        <v>0.25</v>
      </c>
      <c r="R19" s="13">
        <f t="shared" si="12"/>
        <v>0.25</v>
      </c>
      <c r="S19" s="13">
        <f t="shared" si="13"/>
        <v>0.2</v>
      </c>
      <c r="T19" s="13">
        <f t="shared" si="14"/>
        <v>0.33333333333333331</v>
      </c>
      <c r="U19" s="13">
        <f t="shared" si="15"/>
        <v>0.5</v>
      </c>
      <c r="V19" s="13">
        <f t="shared" si="16"/>
        <v>1</v>
      </c>
      <c r="W19" s="13">
        <f t="shared" si="17"/>
        <v>0.33333333333333331</v>
      </c>
      <c r="X19" s="13">
        <f t="shared" si="18"/>
        <v>0.25</v>
      </c>
      <c r="Y19" s="13">
        <f t="shared" ref="Y19:Y21" si="19">IF(ROW()=COLUMN()-COLUMN($I$3)+ROW($I$3),
1,
IF(ROW()&gt;COLUMN()-COLUMN($I$3)+ROW($I$3),
1/INDEX($I$3:$AA$21,
COLUMN()-COLUMN($I$3)+1,
ROW()-ROW($I$3)+1),
""))</f>
        <v>1</v>
      </c>
      <c r="Z19" s="14">
        <v>5</v>
      </c>
      <c r="AA19" s="15">
        <v>5</v>
      </c>
      <c r="AB19" s="16"/>
    </row>
    <row r="20" spans="1:28" x14ac:dyDescent="0.25">
      <c r="A20" s="21"/>
      <c r="B20" s="22" t="s">
        <v>23</v>
      </c>
      <c r="C20" s="23" t="str">
        <f t="shared" si="11"/>
        <v>А11</v>
      </c>
      <c r="D20" s="21"/>
      <c r="E20" s="22" t="s">
        <v>24</v>
      </c>
      <c r="F20" s="23" t="str">
        <f t="shared" si="8"/>
        <v>К11</v>
      </c>
      <c r="H20" s="12" t="str">
        <f t="shared" si="0"/>
        <v>ПЕСОК</v>
      </c>
      <c r="I20" s="13">
        <f t="shared" si="1"/>
        <v>0.2</v>
      </c>
      <c r="J20" s="13">
        <f t="shared" si="2"/>
        <v>0.5</v>
      </c>
      <c r="K20" s="13">
        <f t="shared" si="3"/>
        <v>0.33333333333333331</v>
      </c>
      <c r="L20" s="13">
        <f t="shared" si="4"/>
        <v>1</v>
      </c>
      <c r="M20" s="13">
        <f t="shared" si="5"/>
        <v>0.5</v>
      </c>
      <c r="N20" s="13">
        <f t="shared" si="6"/>
        <v>0.2</v>
      </c>
      <c r="O20" s="13">
        <f t="shared" si="7"/>
        <v>0.33333333333333331</v>
      </c>
      <c r="P20" s="13">
        <f t="shared" si="9"/>
        <v>0.25</v>
      </c>
      <c r="Q20" s="13">
        <f t="shared" si="10"/>
        <v>0.25</v>
      </c>
      <c r="R20" s="13">
        <f t="shared" si="12"/>
        <v>0.25</v>
      </c>
      <c r="S20" s="13">
        <f t="shared" si="13"/>
        <v>0.2</v>
      </c>
      <c r="T20" s="13">
        <f t="shared" si="14"/>
        <v>0.33333333333333331</v>
      </c>
      <c r="U20" s="13">
        <f t="shared" si="15"/>
        <v>0.5</v>
      </c>
      <c r="V20" s="13">
        <f t="shared" si="16"/>
        <v>1</v>
      </c>
      <c r="W20" s="13">
        <f t="shared" si="17"/>
        <v>0.33333333333333331</v>
      </c>
      <c r="X20" s="13">
        <f t="shared" si="18"/>
        <v>0.25</v>
      </c>
      <c r="Y20" s="13">
        <f t="shared" si="19"/>
        <v>0.2</v>
      </c>
      <c r="Z20" s="13">
        <f t="shared" ref="Z20:Z21" si="20">IF(ROW()=COLUMN()-COLUMN($I$3)+ROW($I$3),
1,
IF(ROW()&gt;COLUMN()-COLUMN($I$3)+ROW($I$3),
1/INDEX($I$3:$AA$21,
COLUMN()-COLUMN($I$3)+1,
ROW()-ROW($I$3)+1),
""))</f>
        <v>1</v>
      </c>
      <c r="AA20" s="15">
        <v>5</v>
      </c>
      <c r="AB20" s="16"/>
    </row>
    <row r="21" spans="1:28" x14ac:dyDescent="0.25">
      <c r="A21" s="21"/>
      <c r="B21" s="22" t="s">
        <v>25</v>
      </c>
      <c r="C21" s="23" t="str">
        <f t="shared" si="11"/>
        <v>А12</v>
      </c>
      <c r="D21" s="21"/>
      <c r="E21" s="22" t="s">
        <v>47</v>
      </c>
      <c r="F21" s="23" t="str">
        <f t="shared" si="8"/>
        <v>ПЕСОК</v>
      </c>
      <c r="H21" s="24" t="str">
        <f t="shared" si="0"/>
        <v>К19</v>
      </c>
      <c r="I21" s="25">
        <f t="shared" si="1"/>
        <v>0.2</v>
      </c>
      <c r="J21" s="25">
        <f t="shared" si="2"/>
        <v>0.5</v>
      </c>
      <c r="K21" s="25">
        <f t="shared" si="3"/>
        <v>0.33333333333333331</v>
      </c>
      <c r="L21" s="25">
        <f t="shared" si="4"/>
        <v>1</v>
      </c>
      <c r="M21" s="25">
        <f t="shared" si="5"/>
        <v>0.5</v>
      </c>
      <c r="N21" s="25">
        <f t="shared" si="6"/>
        <v>0.2</v>
      </c>
      <c r="O21" s="25">
        <f t="shared" si="7"/>
        <v>0.33333333333333331</v>
      </c>
      <c r="P21" s="25">
        <f t="shared" si="9"/>
        <v>0.25</v>
      </c>
      <c r="Q21" s="25">
        <f t="shared" si="10"/>
        <v>0.25</v>
      </c>
      <c r="R21" s="25">
        <f t="shared" si="12"/>
        <v>0.25</v>
      </c>
      <c r="S21" s="25">
        <f t="shared" si="13"/>
        <v>0.2</v>
      </c>
      <c r="T21" s="25">
        <f t="shared" si="14"/>
        <v>0.33333333333333331</v>
      </c>
      <c r="U21" s="25">
        <f t="shared" si="15"/>
        <v>0.5</v>
      </c>
      <c r="V21" s="25">
        <f t="shared" si="16"/>
        <v>1</v>
      </c>
      <c r="W21" s="25">
        <f t="shared" si="17"/>
        <v>0.33333333333333331</v>
      </c>
      <c r="X21" s="25">
        <f t="shared" si="18"/>
        <v>0.25</v>
      </c>
      <c r="Y21" s="25">
        <f t="shared" si="19"/>
        <v>0.2</v>
      </c>
      <c r="Z21" s="25">
        <f t="shared" si="20"/>
        <v>0.2</v>
      </c>
      <c r="AA21" s="20">
        <f t="array" aca="1" ref="AA21" ca="1">IF(ROW()=COLUMN()-COLUMN($I$3)+ROW($I$3),
1,
IF(ROW()&gt;COLUMN()-COLUMN($I$3)+ROW($I$3),
1/INDEX($I$3:$AA$21,
COLUMN()-COLUMN($I$3)+1,
ROW()-ROW($I$3)+1),
""))</f>
        <v>1</v>
      </c>
      <c r="AB21" s="16"/>
    </row>
    <row r="22" spans="1:28" x14ac:dyDescent="0.25">
      <c r="A22" s="21"/>
      <c r="B22" s="22" t="s">
        <v>26</v>
      </c>
      <c r="C22" s="23" t="str">
        <f t="shared" si="11"/>
        <v>А13</v>
      </c>
      <c r="D22" s="21"/>
      <c r="E22" s="22" t="s">
        <v>27</v>
      </c>
      <c r="F22" s="23" t="str">
        <f t="shared" si="8"/>
        <v>К13</v>
      </c>
      <c r="AB22" s="26"/>
    </row>
    <row r="23" spans="1:28" ht="15.75" customHeight="1" x14ac:dyDescent="0.3">
      <c r="A23" s="21"/>
      <c r="B23" s="22" t="s">
        <v>28</v>
      </c>
      <c r="C23" s="23" t="str">
        <f t="shared" si="11"/>
        <v>А14</v>
      </c>
      <c r="D23" s="21"/>
      <c r="E23" s="22" t="s">
        <v>29</v>
      </c>
      <c r="F23" s="23" t="str">
        <f t="shared" si="8"/>
        <v>К14</v>
      </c>
      <c r="H23" s="37" t="s">
        <v>30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t="26.4" x14ac:dyDescent="0.25">
      <c r="A24" s="21"/>
      <c r="B24" s="22" t="s">
        <v>31</v>
      </c>
      <c r="C24" s="23" t="str">
        <f t="shared" si="11"/>
        <v>А15</v>
      </c>
      <c r="D24" s="21"/>
      <c r="E24" s="22" t="s">
        <v>32</v>
      </c>
      <c r="F24" s="23" t="str">
        <f t="shared" si="8"/>
        <v>К15</v>
      </c>
      <c r="H24" s="27"/>
      <c r="I24" s="28" t="str">
        <f t="shared" ref="I24:AA24" si="21">INDEX($C$10:$C$28,COLUMN()-8)</f>
        <v>Цена</v>
      </c>
      <c r="J24" s="28" t="str">
        <f t="shared" si="21"/>
        <v>ааыав</v>
      </c>
      <c r="K24" s="28" t="str">
        <f t="shared" si="21"/>
        <v>уцйу</v>
      </c>
      <c r="L24" s="28" t="str">
        <f t="shared" si="21"/>
        <v>куе3</v>
      </c>
      <c r="M24" s="28" t="str">
        <f t="shared" si="21"/>
        <v>увв</v>
      </c>
      <c r="N24" s="28" t="str">
        <f t="shared" si="21"/>
        <v>432пол</v>
      </c>
      <c r="O24" s="28" t="str">
        <f t="shared" si="21"/>
        <v>А7</v>
      </c>
      <c r="P24" s="28" t="str">
        <f t="shared" si="21"/>
        <v>А8</v>
      </c>
      <c r="Q24" s="28" t="str">
        <f t="shared" si="21"/>
        <v>А9</v>
      </c>
      <c r="R24" s="28" t="str">
        <f t="shared" si="21"/>
        <v>А10</v>
      </c>
      <c r="S24" s="28" t="str">
        <f t="shared" si="21"/>
        <v>А11</v>
      </c>
      <c r="T24" s="28" t="str">
        <f t="shared" si="21"/>
        <v>А12</v>
      </c>
      <c r="U24" s="28" t="str">
        <f t="shared" si="21"/>
        <v>А13</v>
      </c>
      <c r="V24" s="28" t="str">
        <f t="shared" si="21"/>
        <v>А14</v>
      </c>
      <c r="W24" s="28" t="str">
        <f t="shared" si="21"/>
        <v>А15</v>
      </c>
      <c r="X24" s="28" t="str">
        <f t="shared" si="21"/>
        <v>А16</v>
      </c>
      <c r="Y24" s="28" t="str">
        <f t="shared" si="21"/>
        <v>А17</v>
      </c>
      <c r="Z24" s="28" t="str">
        <f t="shared" si="21"/>
        <v>А18</v>
      </c>
      <c r="AA24" s="28" t="str">
        <f t="shared" si="21"/>
        <v>А19</v>
      </c>
      <c r="AB24" s="29" t="s">
        <v>33</v>
      </c>
    </row>
    <row r="25" spans="1:28" ht="13.2" x14ac:dyDescent="0.25">
      <c r="A25" s="21"/>
      <c r="B25" s="22" t="s">
        <v>34</v>
      </c>
      <c r="C25" s="23" t="str">
        <f t="shared" si="11"/>
        <v>А16</v>
      </c>
      <c r="D25" s="21"/>
      <c r="E25" s="22" t="s">
        <v>47</v>
      </c>
      <c r="F25" s="23" t="str">
        <f t="shared" si="8"/>
        <v>ПЕСОК</v>
      </c>
      <c r="H25" s="30" t="str">
        <f t="shared" ref="H25:H43" si="22">F10</f>
        <v>Каавыа</v>
      </c>
      <c r="I25" s="31">
        <v>1.2</v>
      </c>
      <c r="J25" s="31">
        <v>1.2</v>
      </c>
      <c r="K25" s="31">
        <v>1.2</v>
      </c>
      <c r="L25" s="31">
        <v>1.2</v>
      </c>
      <c r="M25" s="31">
        <v>1.2</v>
      </c>
      <c r="N25" s="31">
        <v>1.2</v>
      </c>
      <c r="O25" s="31">
        <v>1.2</v>
      </c>
      <c r="P25" s="31">
        <v>1.2</v>
      </c>
      <c r="Q25" s="31">
        <v>1.2</v>
      </c>
      <c r="R25" s="31">
        <v>1.2</v>
      </c>
      <c r="S25" s="31">
        <v>1.2</v>
      </c>
      <c r="T25" s="31">
        <v>1.2</v>
      </c>
      <c r="U25" s="31">
        <v>1.2</v>
      </c>
      <c r="V25" s="31">
        <v>1.2</v>
      </c>
      <c r="W25" s="31">
        <v>1.2</v>
      </c>
      <c r="X25" s="31">
        <v>1.2</v>
      </c>
      <c r="Y25" s="31">
        <v>1.2</v>
      </c>
      <c r="Z25" s="31">
        <v>1.2</v>
      </c>
      <c r="AA25" s="31">
        <v>1.2</v>
      </c>
      <c r="AB25" s="32">
        <v>1</v>
      </c>
    </row>
    <row r="26" spans="1:28" ht="13.2" x14ac:dyDescent="0.25">
      <c r="A26" s="21"/>
      <c r="B26" s="22" t="s">
        <v>35</v>
      </c>
      <c r="C26" s="23" t="str">
        <f t="shared" si="11"/>
        <v>А17</v>
      </c>
      <c r="D26" s="21"/>
      <c r="E26" s="22" t="s">
        <v>47</v>
      </c>
      <c r="F26" s="23" t="str">
        <f t="shared" si="8"/>
        <v>ПЕСОК</v>
      </c>
      <c r="H26" s="30" t="str">
        <f t="shared" si="22"/>
        <v>КВАРТИРА</v>
      </c>
      <c r="I26" s="31">
        <v>53</v>
      </c>
      <c r="J26" s="31">
        <v>53</v>
      </c>
      <c r="K26" s="31">
        <v>53</v>
      </c>
      <c r="L26" s="31">
        <v>53</v>
      </c>
      <c r="M26" s="31">
        <v>53</v>
      </c>
      <c r="N26" s="31">
        <v>53</v>
      </c>
      <c r="O26" s="31">
        <v>53</v>
      </c>
      <c r="P26" s="31">
        <v>53</v>
      </c>
      <c r="Q26" s="31">
        <v>53</v>
      </c>
      <c r="R26" s="31">
        <v>53</v>
      </c>
      <c r="S26" s="31">
        <v>53</v>
      </c>
      <c r="T26" s="31">
        <v>53</v>
      </c>
      <c r="U26" s="31">
        <v>53</v>
      </c>
      <c r="V26" s="31">
        <v>53</v>
      </c>
      <c r="W26" s="31">
        <v>53</v>
      </c>
      <c r="X26" s="31">
        <v>53</v>
      </c>
      <c r="Y26" s="31">
        <v>53</v>
      </c>
      <c r="Z26" s="31">
        <v>53</v>
      </c>
      <c r="AA26" s="31">
        <v>53</v>
      </c>
      <c r="AB26" s="32">
        <v>1</v>
      </c>
    </row>
    <row r="27" spans="1:28" ht="13.2" x14ac:dyDescent="0.25">
      <c r="A27" s="21"/>
      <c r="B27" s="22" t="s">
        <v>36</v>
      </c>
      <c r="C27" s="23" t="str">
        <f t="shared" si="11"/>
        <v>А18</v>
      </c>
      <c r="D27" s="21"/>
      <c r="E27" s="22" t="s">
        <v>47</v>
      </c>
      <c r="F27" s="23" t="str">
        <f t="shared" si="8"/>
        <v>ПЕСОК</v>
      </c>
      <c r="H27" s="30" t="str">
        <f t="shared" si="22"/>
        <v>ПЕСОК</v>
      </c>
      <c r="I27" s="31">
        <v>11</v>
      </c>
      <c r="J27" s="31">
        <v>11</v>
      </c>
      <c r="K27" s="31">
        <v>11</v>
      </c>
      <c r="L27" s="31">
        <v>11</v>
      </c>
      <c r="M27" s="31">
        <v>11</v>
      </c>
      <c r="N27" s="31">
        <v>11</v>
      </c>
      <c r="O27" s="31">
        <v>11</v>
      </c>
      <c r="P27" s="31">
        <v>11</v>
      </c>
      <c r="Q27" s="31">
        <v>11</v>
      </c>
      <c r="R27" s="31">
        <v>11</v>
      </c>
      <c r="S27" s="31">
        <v>11</v>
      </c>
      <c r="T27" s="31">
        <v>11</v>
      </c>
      <c r="U27" s="31">
        <v>11</v>
      </c>
      <c r="V27" s="31">
        <v>11</v>
      </c>
      <c r="W27" s="31">
        <v>11</v>
      </c>
      <c r="X27" s="31">
        <v>11</v>
      </c>
      <c r="Y27" s="31">
        <v>11</v>
      </c>
      <c r="Z27" s="31">
        <v>11</v>
      </c>
      <c r="AA27" s="31">
        <v>11</v>
      </c>
      <c r="AB27" s="32">
        <v>1</v>
      </c>
    </row>
    <row r="28" spans="1:28" ht="13.8" thickBot="1" x14ac:dyDescent="0.3">
      <c r="B28" s="33" t="s">
        <v>37</v>
      </c>
      <c r="C28" s="34" t="str">
        <f t="shared" si="11"/>
        <v>А19</v>
      </c>
      <c r="D28" s="21"/>
      <c r="E28" s="33" t="s">
        <v>38</v>
      </c>
      <c r="F28" s="34" t="str">
        <f t="shared" si="8"/>
        <v>К19</v>
      </c>
      <c r="H28" s="30" t="str">
        <f t="shared" si="22"/>
        <v>СОК</v>
      </c>
      <c r="I28" s="31">
        <v>900</v>
      </c>
      <c r="J28" s="31">
        <v>900</v>
      </c>
      <c r="K28" s="31">
        <v>900</v>
      </c>
      <c r="L28" s="31">
        <v>900</v>
      </c>
      <c r="M28" s="31">
        <v>900</v>
      </c>
      <c r="N28" s="31">
        <v>900</v>
      </c>
      <c r="O28" s="31">
        <v>900</v>
      </c>
      <c r="P28" s="31">
        <v>900</v>
      </c>
      <c r="Q28" s="31">
        <v>900</v>
      </c>
      <c r="R28" s="31">
        <v>900</v>
      </c>
      <c r="S28" s="31">
        <v>900</v>
      </c>
      <c r="T28" s="31">
        <v>900</v>
      </c>
      <c r="U28" s="31">
        <v>900</v>
      </c>
      <c r="V28" s="31">
        <v>900</v>
      </c>
      <c r="W28" s="31">
        <v>900</v>
      </c>
      <c r="X28" s="31">
        <v>900</v>
      </c>
      <c r="Y28" s="31">
        <v>900</v>
      </c>
      <c r="Z28" s="31">
        <v>900</v>
      </c>
      <c r="AA28" s="31">
        <v>900</v>
      </c>
      <c r="AB28" s="32">
        <v>1</v>
      </c>
    </row>
    <row r="29" spans="1:28" ht="13.2" x14ac:dyDescent="0.25">
      <c r="H29" s="30" t="str">
        <f t="shared" si="22"/>
        <v>К5</v>
      </c>
      <c r="I29" s="31">
        <v>999999</v>
      </c>
      <c r="J29" s="31">
        <v>999999</v>
      </c>
      <c r="K29" s="31">
        <v>999999</v>
      </c>
      <c r="L29" s="31">
        <v>999999</v>
      </c>
      <c r="M29" s="31">
        <v>999999</v>
      </c>
      <c r="N29" s="31">
        <v>999999</v>
      </c>
      <c r="O29" s="31">
        <v>999999</v>
      </c>
      <c r="P29" s="31">
        <v>999999</v>
      </c>
      <c r="Q29" s="31">
        <v>999999</v>
      </c>
      <c r="R29" s="31">
        <v>999999</v>
      </c>
      <c r="S29" s="31">
        <v>999999</v>
      </c>
      <c r="T29" s="31">
        <v>999999</v>
      </c>
      <c r="U29" s="31">
        <v>999999</v>
      </c>
      <c r="V29" s="31">
        <v>999999</v>
      </c>
      <c r="W29" s="31">
        <v>999999</v>
      </c>
      <c r="X29" s="31">
        <v>999999</v>
      </c>
      <c r="Y29" s="31">
        <v>999999</v>
      </c>
      <c r="Z29" s="31">
        <v>999999</v>
      </c>
      <c r="AA29" s="31">
        <v>999999</v>
      </c>
      <c r="AB29" s="32">
        <v>1</v>
      </c>
    </row>
    <row r="30" spans="1:28" ht="13.2" x14ac:dyDescent="0.25">
      <c r="H30" s="30" t="str">
        <f t="shared" si="22"/>
        <v>К6</v>
      </c>
      <c r="I30" s="31">
        <v>3</v>
      </c>
      <c r="J30" s="31">
        <v>3</v>
      </c>
      <c r="K30" s="31">
        <v>3</v>
      </c>
      <c r="L30" s="31">
        <v>3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31">
        <v>3</v>
      </c>
      <c r="S30" s="31">
        <v>3</v>
      </c>
      <c r="T30" s="31">
        <v>3</v>
      </c>
      <c r="U30" s="31">
        <v>3</v>
      </c>
      <c r="V30" s="31">
        <v>3</v>
      </c>
      <c r="W30" s="31">
        <v>3</v>
      </c>
      <c r="X30" s="31">
        <v>3</v>
      </c>
      <c r="Y30" s="31">
        <v>3</v>
      </c>
      <c r="Z30" s="31">
        <v>3</v>
      </c>
      <c r="AA30" s="31">
        <v>3</v>
      </c>
      <c r="AB30" s="32">
        <v>1</v>
      </c>
    </row>
    <row r="31" spans="1:28" ht="13.2" x14ac:dyDescent="0.25">
      <c r="H31" s="30" t="str">
        <f t="shared" si="22"/>
        <v>ПЕСОК</v>
      </c>
      <c r="I31" s="31">
        <v>3</v>
      </c>
      <c r="J31" s="31">
        <v>3</v>
      </c>
      <c r="K31" s="31">
        <v>3</v>
      </c>
      <c r="L31" s="31">
        <v>3</v>
      </c>
      <c r="M31" s="31">
        <v>3</v>
      </c>
      <c r="N31" s="31">
        <v>3</v>
      </c>
      <c r="O31" s="31">
        <v>3</v>
      </c>
      <c r="P31" s="31">
        <v>3</v>
      </c>
      <c r="Q31" s="31">
        <v>3</v>
      </c>
      <c r="R31" s="31">
        <v>3</v>
      </c>
      <c r="S31" s="31">
        <v>3</v>
      </c>
      <c r="T31" s="31">
        <v>3</v>
      </c>
      <c r="U31" s="31">
        <v>3</v>
      </c>
      <c r="V31" s="31">
        <v>3</v>
      </c>
      <c r="W31" s="31">
        <v>3</v>
      </c>
      <c r="X31" s="31">
        <v>3</v>
      </c>
      <c r="Y31" s="31">
        <v>3</v>
      </c>
      <c r="Z31" s="31">
        <v>3</v>
      </c>
      <c r="AA31" s="31">
        <v>3</v>
      </c>
      <c r="AB31" s="32">
        <v>1</v>
      </c>
    </row>
    <row r="32" spans="1:28" ht="13.2" x14ac:dyDescent="0.25">
      <c r="H32" s="30" t="str">
        <f t="shared" si="22"/>
        <v>К8</v>
      </c>
      <c r="I32" s="31">
        <v>2</v>
      </c>
      <c r="J32" s="31">
        <v>2</v>
      </c>
      <c r="K32" s="31">
        <v>2</v>
      </c>
      <c r="L32" s="31">
        <v>2</v>
      </c>
      <c r="M32" s="31">
        <v>2</v>
      </c>
      <c r="N32" s="31">
        <v>2</v>
      </c>
      <c r="O32" s="31">
        <v>2</v>
      </c>
      <c r="P32" s="31">
        <v>2</v>
      </c>
      <c r="Q32" s="31">
        <v>2</v>
      </c>
      <c r="R32" s="31">
        <v>2</v>
      </c>
      <c r="S32" s="31">
        <v>2</v>
      </c>
      <c r="T32" s="31">
        <v>2</v>
      </c>
      <c r="U32" s="31">
        <v>2</v>
      </c>
      <c r="V32" s="31">
        <v>2</v>
      </c>
      <c r="W32" s="31">
        <v>2</v>
      </c>
      <c r="X32" s="31">
        <v>2</v>
      </c>
      <c r="Y32" s="31">
        <v>2</v>
      </c>
      <c r="Z32" s="31">
        <v>2</v>
      </c>
      <c r="AA32" s="31">
        <v>2</v>
      </c>
      <c r="AB32" s="32">
        <v>1</v>
      </c>
    </row>
    <row r="33" spans="8:28" ht="13.2" x14ac:dyDescent="0.25">
      <c r="H33" s="30" t="str">
        <f t="shared" si="22"/>
        <v>К9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1">
        <v>1</v>
      </c>
      <c r="O33" s="31">
        <v>1</v>
      </c>
      <c r="P33" s="31">
        <v>1</v>
      </c>
      <c r="Q33" s="31">
        <v>1</v>
      </c>
      <c r="R33" s="31">
        <v>1</v>
      </c>
      <c r="S33" s="31">
        <v>1</v>
      </c>
      <c r="T33" s="31">
        <v>1</v>
      </c>
      <c r="U33" s="31">
        <v>1</v>
      </c>
      <c r="V33" s="31">
        <v>1</v>
      </c>
      <c r="W33" s="31">
        <v>1</v>
      </c>
      <c r="X33" s="31">
        <v>1</v>
      </c>
      <c r="Y33" s="31">
        <v>1</v>
      </c>
      <c r="Z33" s="31">
        <v>1</v>
      </c>
      <c r="AA33" s="31">
        <v>1</v>
      </c>
      <c r="AB33" s="32">
        <v>1</v>
      </c>
    </row>
    <row r="34" spans="8:28" ht="13.2" x14ac:dyDescent="0.25">
      <c r="H34" s="30" t="str">
        <f t="shared" si="22"/>
        <v>К10</v>
      </c>
      <c r="I34" s="31">
        <v>71384.214285714304</v>
      </c>
      <c r="J34" s="31">
        <v>71384.214285714304</v>
      </c>
      <c r="K34" s="31">
        <v>71384.214285714304</v>
      </c>
      <c r="L34" s="31">
        <v>71384.214285714304</v>
      </c>
      <c r="M34" s="31">
        <v>71384.214285714304</v>
      </c>
      <c r="N34" s="31">
        <v>71384.214285714304</v>
      </c>
      <c r="O34" s="31">
        <v>71384.214285714304</v>
      </c>
      <c r="P34" s="31">
        <v>71384.214285714304</v>
      </c>
      <c r="Q34" s="31">
        <v>71384.214285714304</v>
      </c>
      <c r="R34" s="31">
        <v>71384.214285714304</v>
      </c>
      <c r="S34" s="31">
        <v>71384.214285714304</v>
      </c>
      <c r="T34" s="31">
        <v>71384.214285714304</v>
      </c>
      <c r="U34" s="31">
        <v>71384.214285714304</v>
      </c>
      <c r="V34" s="31">
        <v>71384.214285714304</v>
      </c>
      <c r="W34" s="31">
        <v>71384.214285714304</v>
      </c>
      <c r="X34" s="31">
        <v>71384.214285714304</v>
      </c>
      <c r="Y34" s="31">
        <v>71384.214285714304</v>
      </c>
      <c r="Z34" s="31">
        <v>71384.214285714304</v>
      </c>
      <c r="AA34" s="31">
        <v>71384.214285714304</v>
      </c>
      <c r="AB34" s="32">
        <v>1</v>
      </c>
    </row>
    <row r="35" spans="8:28" ht="13.2" x14ac:dyDescent="0.25">
      <c r="H35" s="30" t="str">
        <f t="shared" si="22"/>
        <v>К11</v>
      </c>
      <c r="I35" s="31">
        <v>59442.595238095702</v>
      </c>
      <c r="J35" s="31">
        <v>59442.595238095702</v>
      </c>
      <c r="K35" s="31">
        <v>59442.595238095702</v>
      </c>
      <c r="L35" s="31">
        <v>59442.595238095702</v>
      </c>
      <c r="M35" s="31">
        <v>59442.595238095702</v>
      </c>
      <c r="N35" s="31">
        <v>59442.595238095702</v>
      </c>
      <c r="O35" s="31">
        <v>59442.595238095702</v>
      </c>
      <c r="P35" s="31">
        <v>59442.595238095702</v>
      </c>
      <c r="Q35" s="31">
        <v>59442.595238095702</v>
      </c>
      <c r="R35" s="31">
        <v>59442.595238095702</v>
      </c>
      <c r="S35" s="31">
        <v>59442.595238095702</v>
      </c>
      <c r="T35" s="31">
        <v>59442.595238095702</v>
      </c>
      <c r="U35" s="31">
        <v>59442.595238095702</v>
      </c>
      <c r="V35" s="31">
        <v>59442.595238095702</v>
      </c>
      <c r="W35" s="31">
        <v>59442.595238095702</v>
      </c>
      <c r="X35" s="31">
        <v>59442.595238095702</v>
      </c>
      <c r="Y35" s="31">
        <v>59442.595238095702</v>
      </c>
      <c r="Z35" s="31">
        <v>59442.595238095702</v>
      </c>
      <c r="AA35" s="31">
        <v>59442.595238095702</v>
      </c>
      <c r="AB35" s="32">
        <v>1</v>
      </c>
    </row>
    <row r="36" spans="8:28" ht="13.2" x14ac:dyDescent="0.25">
      <c r="H36" s="30" t="str">
        <f t="shared" si="22"/>
        <v>ПЕСОК</v>
      </c>
      <c r="I36" s="31">
        <v>47500.976190475703</v>
      </c>
      <c r="J36" s="31">
        <v>47500.976190475703</v>
      </c>
      <c r="K36" s="31">
        <v>47500.976190475703</v>
      </c>
      <c r="L36" s="31">
        <v>47500.976190475703</v>
      </c>
      <c r="M36" s="31">
        <v>47500.976190475703</v>
      </c>
      <c r="N36" s="31">
        <v>47500.976190475703</v>
      </c>
      <c r="O36" s="31">
        <v>47500.976190475703</v>
      </c>
      <c r="P36" s="31">
        <v>47500.976190475703</v>
      </c>
      <c r="Q36" s="31">
        <v>47500.976190475703</v>
      </c>
      <c r="R36" s="31">
        <v>47500.976190475703</v>
      </c>
      <c r="S36" s="31">
        <v>47500.976190475703</v>
      </c>
      <c r="T36" s="31">
        <v>47500.976190475703</v>
      </c>
      <c r="U36" s="31">
        <v>47500.976190475703</v>
      </c>
      <c r="V36" s="31">
        <v>47500.976190475703</v>
      </c>
      <c r="W36" s="31">
        <v>47500.976190475703</v>
      </c>
      <c r="X36" s="31">
        <v>47500.976190475703</v>
      </c>
      <c r="Y36" s="31">
        <v>47500.976190475703</v>
      </c>
      <c r="Z36" s="31">
        <v>47500.976190475703</v>
      </c>
      <c r="AA36" s="31">
        <v>47500.976190475703</v>
      </c>
      <c r="AB36" s="32">
        <v>1</v>
      </c>
    </row>
    <row r="37" spans="8:28" ht="13.2" x14ac:dyDescent="0.25">
      <c r="H37" s="30" t="str">
        <f t="shared" si="22"/>
        <v>К13</v>
      </c>
      <c r="I37" s="31">
        <v>35559.357142856701</v>
      </c>
      <c r="J37" s="31">
        <v>35559.357142856701</v>
      </c>
      <c r="K37" s="31">
        <v>35559.357142856701</v>
      </c>
      <c r="L37" s="31">
        <v>35559.357142856701</v>
      </c>
      <c r="M37" s="31">
        <v>35559.357142856701</v>
      </c>
      <c r="N37" s="31">
        <v>35559.357142856701</v>
      </c>
      <c r="O37" s="31">
        <v>35559.357142856701</v>
      </c>
      <c r="P37" s="31">
        <v>35559.357142856701</v>
      </c>
      <c r="Q37" s="31">
        <v>35559.357142856701</v>
      </c>
      <c r="R37" s="31">
        <v>35559.357142856701</v>
      </c>
      <c r="S37" s="31">
        <v>35559.357142856701</v>
      </c>
      <c r="T37" s="31">
        <v>35559.357142856701</v>
      </c>
      <c r="U37" s="31">
        <v>35559.357142856701</v>
      </c>
      <c r="V37" s="31">
        <v>35559.357142856701</v>
      </c>
      <c r="W37" s="31">
        <v>35559.357142856701</v>
      </c>
      <c r="X37" s="31">
        <v>35559.357142856701</v>
      </c>
      <c r="Y37" s="31">
        <v>35559.357142856701</v>
      </c>
      <c r="Z37" s="31">
        <v>35559.357142856701</v>
      </c>
      <c r="AA37" s="31">
        <v>35559.357142856701</v>
      </c>
      <c r="AB37" s="32">
        <v>1</v>
      </c>
    </row>
    <row r="38" spans="8:28" ht="13.2" x14ac:dyDescent="0.25">
      <c r="H38" s="30" t="str">
        <f t="shared" si="22"/>
        <v>К14</v>
      </c>
      <c r="I38" s="31">
        <v>23617.738095237699</v>
      </c>
      <c r="J38" s="31">
        <v>23617.738095237699</v>
      </c>
      <c r="K38" s="31">
        <v>23617.738095237699</v>
      </c>
      <c r="L38" s="31">
        <v>23617.738095237699</v>
      </c>
      <c r="M38" s="31">
        <v>23617.738095237699</v>
      </c>
      <c r="N38" s="31">
        <v>23617.738095237699</v>
      </c>
      <c r="O38" s="31">
        <v>23617.738095237699</v>
      </c>
      <c r="P38" s="31">
        <v>23617.738095237699</v>
      </c>
      <c r="Q38" s="31">
        <v>23617.738095237699</v>
      </c>
      <c r="R38" s="31">
        <v>23617.738095237699</v>
      </c>
      <c r="S38" s="31">
        <v>23617.738095237699</v>
      </c>
      <c r="T38" s="31">
        <v>23617.738095237699</v>
      </c>
      <c r="U38" s="31">
        <v>23617.738095237699</v>
      </c>
      <c r="V38" s="31">
        <v>23617.738095237699</v>
      </c>
      <c r="W38" s="31">
        <v>23617.738095237699</v>
      </c>
      <c r="X38" s="31">
        <v>23617.738095237699</v>
      </c>
      <c r="Y38" s="31">
        <v>23617.738095237699</v>
      </c>
      <c r="Z38" s="31">
        <v>23617.738095237699</v>
      </c>
      <c r="AA38" s="31">
        <v>23617.738095237699</v>
      </c>
      <c r="AB38" s="32">
        <v>1</v>
      </c>
    </row>
    <row r="39" spans="8:28" ht="13.2" x14ac:dyDescent="0.25">
      <c r="H39" s="30" t="str">
        <f t="shared" si="22"/>
        <v>К15</v>
      </c>
      <c r="I39" s="31">
        <v>11676.1190476187</v>
      </c>
      <c r="J39" s="31">
        <v>11676.1190476187</v>
      </c>
      <c r="K39" s="31">
        <v>11676.1190476187</v>
      </c>
      <c r="L39" s="31">
        <v>11676.1190476187</v>
      </c>
      <c r="M39" s="31">
        <v>11676.1190476187</v>
      </c>
      <c r="N39" s="31">
        <v>11676.1190476187</v>
      </c>
      <c r="O39" s="31">
        <v>11676.1190476187</v>
      </c>
      <c r="P39" s="31">
        <v>11676.1190476187</v>
      </c>
      <c r="Q39" s="31">
        <v>11676.1190476187</v>
      </c>
      <c r="R39" s="31">
        <v>11676.1190476187</v>
      </c>
      <c r="S39" s="31">
        <v>11676.1190476187</v>
      </c>
      <c r="T39" s="31">
        <v>11676.1190476187</v>
      </c>
      <c r="U39" s="31">
        <v>11676.1190476187</v>
      </c>
      <c r="V39" s="31">
        <v>11676.1190476187</v>
      </c>
      <c r="W39" s="31">
        <v>11676.1190476187</v>
      </c>
      <c r="X39" s="31">
        <v>11676.1190476187</v>
      </c>
      <c r="Y39" s="31">
        <v>11676.1190476187</v>
      </c>
      <c r="Z39" s="31">
        <v>11676.1190476187</v>
      </c>
      <c r="AA39" s="31">
        <v>11676.1190476187</v>
      </c>
      <c r="AB39" s="32">
        <v>1</v>
      </c>
    </row>
    <row r="40" spans="8:28" ht="13.2" x14ac:dyDescent="0.25">
      <c r="H40" s="30" t="str">
        <f t="shared" si="22"/>
        <v>ПЕСОК</v>
      </c>
      <c r="I40" s="31">
        <v>-265.50000000031997</v>
      </c>
      <c r="J40" s="31">
        <v>-265.50000000031997</v>
      </c>
      <c r="K40" s="31">
        <v>-265.50000000031997</v>
      </c>
      <c r="L40" s="31">
        <v>-265.50000000031997</v>
      </c>
      <c r="M40" s="31">
        <v>-265.50000000031997</v>
      </c>
      <c r="N40" s="31">
        <v>-265.50000000031997</v>
      </c>
      <c r="O40" s="31">
        <v>-265.50000000031997</v>
      </c>
      <c r="P40" s="31">
        <v>-265.50000000031997</v>
      </c>
      <c r="Q40" s="31">
        <v>-265.50000000031997</v>
      </c>
      <c r="R40" s="31">
        <v>-265.50000000031997</v>
      </c>
      <c r="S40" s="31">
        <v>-265.50000000031997</v>
      </c>
      <c r="T40" s="31">
        <v>-265.50000000031997</v>
      </c>
      <c r="U40" s="31">
        <v>-265.50000000031997</v>
      </c>
      <c r="V40" s="31">
        <v>-265.50000000031997</v>
      </c>
      <c r="W40" s="31">
        <v>-265.50000000031997</v>
      </c>
      <c r="X40" s="31">
        <v>-265.50000000031997</v>
      </c>
      <c r="Y40" s="31">
        <v>-265.50000000031997</v>
      </c>
      <c r="Z40" s="31">
        <v>-265.50000000031997</v>
      </c>
      <c r="AA40" s="31">
        <v>-265.50000000031997</v>
      </c>
      <c r="AB40" s="32">
        <v>1</v>
      </c>
    </row>
    <row r="41" spans="8:28" ht="13.2" x14ac:dyDescent="0.25">
      <c r="H41" s="30" t="str">
        <f t="shared" si="22"/>
        <v>ПЕСОК</v>
      </c>
      <c r="I41" s="31">
        <v>-12207.119047619301</v>
      </c>
      <c r="J41" s="31">
        <v>-12207.119047619301</v>
      </c>
      <c r="K41" s="31">
        <v>-12207.119047619301</v>
      </c>
      <c r="L41" s="31">
        <v>-12207.119047619301</v>
      </c>
      <c r="M41" s="31">
        <v>-12207.119047619301</v>
      </c>
      <c r="N41" s="31">
        <v>-12207.119047619301</v>
      </c>
      <c r="O41" s="31">
        <v>-12207.119047619301</v>
      </c>
      <c r="P41" s="31">
        <v>-12207.119047619301</v>
      </c>
      <c r="Q41" s="31">
        <v>-12207.119047619301</v>
      </c>
      <c r="R41" s="31">
        <v>-12207.119047619301</v>
      </c>
      <c r="S41" s="31">
        <v>-12207.119047619301</v>
      </c>
      <c r="T41" s="31">
        <v>-12207.119047619301</v>
      </c>
      <c r="U41" s="31">
        <v>-12207.119047619301</v>
      </c>
      <c r="V41" s="31">
        <v>-12207.119047619301</v>
      </c>
      <c r="W41" s="31">
        <v>-12207.119047619301</v>
      </c>
      <c r="X41" s="31">
        <v>-12207.119047619301</v>
      </c>
      <c r="Y41" s="31">
        <v>-12207.119047619301</v>
      </c>
      <c r="Z41" s="31">
        <v>-12207.119047619301</v>
      </c>
      <c r="AA41" s="31">
        <v>-12207.119047619301</v>
      </c>
      <c r="AB41" s="32">
        <v>1</v>
      </c>
    </row>
    <row r="42" spans="8:28" ht="13.2" x14ac:dyDescent="0.25">
      <c r="H42" s="30" t="str">
        <f t="shared" si="22"/>
        <v>ПЕСОК</v>
      </c>
      <c r="I42" s="31">
        <v>-24148.738095238299</v>
      </c>
      <c r="J42" s="31">
        <v>-24148.738095238299</v>
      </c>
      <c r="K42" s="31">
        <v>-24148.738095238299</v>
      </c>
      <c r="L42" s="31">
        <v>-24148.738095238299</v>
      </c>
      <c r="M42" s="31">
        <v>-24148.738095238299</v>
      </c>
      <c r="N42" s="31">
        <v>-24148.738095238299</v>
      </c>
      <c r="O42" s="31">
        <v>-24148.738095238299</v>
      </c>
      <c r="P42" s="31">
        <v>-24148.738095238299</v>
      </c>
      <c r="Q42" s="31">
        <v>-24148.738095238299</v>
      </c>
      <c r="R42" s="31">
        <v>-24148.738095238299</v>
      </c>
      <c r="S42" s="31">
        <v>-24148.738095238299</v>
      </c>
      <c r="T42" s="31">
        <v>-24148.738095238299</v>
      </c>
      <c r="U42" s="31">
        <v>-24148.738095238299</v>
      </c>
      <c r="V42" s="31">
        <v>-24148.738095238299</v>
      </c>
      <c r="W42" s="31">
        <v>-24148.738095238299</v>
      </c>
      <c r="X42" s="31">
        <v>-24148.738095238299</v>
      </c>
      <c r="Y42" s="31">
        <v>-24148.738095238299</v>
      </c>
      <c r="Z42" s="31">
        <v>-24148.738095238299</v>
      </c>
      <c r="AA42" s="31">
        <v>-24148.738095238299</v>
      </c>
      <c r="AB42" s="32">
        <v>1</v>
      </c>
    </row>
    <row r="43" spans="8:28" ht="13.8" thickBot="1" x14ac:dyDescent="0.3">
      <c r="H43" s="35" t="str">
        <f t="shared" si="22"/>
        <v>К19</v>
      </c>
      <c r="I43" s="31">
        <v>-36090.357142857298</v>
      </c>
      <c r="J43" s="31">
        <v>-36090.357142857298</v>
      </c>
      <c r="K43" s="31">
        <v>-36090.357142857298</v>
      </c>
      <c r="L43" s="31">
        <v>-36090.357142857298</v>
      </c>
      <c r="M43" s="31">
        <v>-36090.357142857298</v>
      </c>
      <c r="N43" s="31">
        <v>-36090.357142857298</v>
      </c>
      <c r="O43" s="31">
        <v>-36090.357142857298</v>
      </c>
      <c r="P43" s="31">
        <v>-36090.357142857298</v>
      </c>
      <c r="Q43" s="31">
        <v>-36090.357142857298</v>
      </c>
      <c r="R43" s="31">
        <v>-36090.357142857298</v>
      </c>
      <c r="S43" s="31">
        <v>-36090.357142857298</v>
      </c>
      <c r="T43" s="31">
        <v>-36090.357142857298</v>
      </c>
      <c r="U43" s="31">
        <v>-36090.357142857298</v>
      </c>
      <c r="V43" s="31">
        <v>-36090.357142857298</v>
      </c>
      <c r="W43" s="31">
        <v>-36090.357142857298</v>
      </c>
      <c r="X43" s="31">
        <v>-36090.357142857298</v>
      </c>
      <c r="Y43" s="31">
        <v>-36090.357142857298</v>
      </c>
      <c r="Z43" s="31">
        <v>-36090.357142857298</v>
      </c>
      <c r="AA43" s="31">
        <v>-36090.357142857298</v>
      </c>
      <c r="AB43" s="36">
        <v>1</v>
      </c>
    </row>
  </sheetData>
  <mergeCells count="5">
    <mergeCell ref="B1:C1"/>
    <mergeCell ref="H1:AA1"/>
    <mergeCell ref="B8:C8"/>
    <mergeCell ref="E8:F8"/>
    <mergeCell ref="H23:A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Овсейчик</dc:creator>
  <cp:lastModifiedBy>Николай Овсейчик</cp:lastModifiedBy>
  <dcterms:created xsi:type="dcterms:W3CDTF">2026-02-27T17:11:06Z</dcterms:created>
  <dcterms:modified xsi:type="dcterms:W3CDTF">2026-02-27T17:11:06Z</dcterms:modified>
</cp:coreProperties>
</file>